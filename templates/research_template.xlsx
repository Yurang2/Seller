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상품" sheetId="2" state="visible" r:id="rId4"/>
    <sheet name="공급처" sheetId="3" state="visible" r:id="rId5"/>
    <sheet name="오퍼" sheetId="4" state="visible" r:id="rId6"/>
    <sheet name="배송시나리오" sheetId="5" state="visible" r:id="rId7"/>
    <sheet name="원가계산" sheetId="6" state="visible" r:id="rId8"/>
    <sheet name="경쟁사관찰" sheetId="7" state="visible" r:id="rId9"/>
    <sheet name="요건" sheetId="8" state="visible" r:id="rId10"/>
    <sheet name="결정" sheetId="9" state="visible" r:id="rId11"/>
    <sheet name="작업" sheetId="10" state="visible" r:id="rId12"/>
    <sheet name="환율" sheetId="11" state="visible" r:id="rId13"/>
    <sheet name="비용항목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P-001 </t>
        </r>
        <r>
          <rPr>
            <sz val="10"/>
            <rFont val="WenQuanYi Zen Hei"/>
            <family val="2"/>
          </rPr>
          <t xml:space="preserve">형식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다른 탭에서 이 </t>
        </r>
        <r>
          <rPr>
            <sz val="10"/>
            <rFont val="Arial"/>
            <family val="2"/>
          </rPr>
          <t xml:space="preserve">ID</t>
        </r>
        <r>
          <rPr>
            <sz val="10"/>
            <rFont val="WenQuanYi Zen Hei"/>
            <family val="2"/>
          </rPr>
          <t xml:space="preserve">로 참조</t>
        </r>
      </text>
    </comment>
    <comment ref="B1" authorId="0">
      <text>
        <r>
          <rPr>
            <sz val="10"/>
            <rFont val="WenQuanYi Zen Hei"/>
            <family val="2"/>
          </rPr>
          <t xml:space="preserve">내부 이름</t>
        </r>
      </text>
    </comment>
    <comment ref="C1" authorId="0">
      <text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핑구</t>
        </r>
      </text>
    </comment>
    <comment ref="E1" authorId="0">
      <text>
        <r>
          <rPr>
            <sz val="10"/>
            <rFont val="WenQuanYi Zen Hei"/>
            <family val="2"/>
          </rPr>
          <t xml:space="preserve">지정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랜덤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세트</t>
        </r>
      </text>
    </comment>
    <comment ref="F1" authorId="0">
      <text>
        <r>
          <rPr>
            <sz val="10"/>
            <rFont val="WenQuanYi Zen Hei"/>
            <family val="2"/>
          </rPr>
          <t xml:space="preserve">제품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페이지의 대상 연령 표기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14</t>
        </r>
        <r>
          <rPr>
            <sz val="10"/>
            <rFont val="WenQuanYi Zen Hei"/>
            <family val="2"/>
          </rPr>
          <t xml:space="preserve">세 이상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모르면 비움</t>
        </r>
      </text>
    </comment>
    <comment ref="G1" authorId="0">
      <text>
        <r>
          <rPr>
            <sz val="10"/>
            <rFont val="WenQuanYi Zen Hei"/>
            <family val="2"/>
          </rPr>
          <t xml:space="preserve">파이프라인 단계</t>
        </r>
      </text>
    </comment>
    <comment ref="H1" authorId="0">
      <text>
        <r>
          <rPr>
            <sz val="10"/>
            <rFont val="WenQuanYi Zen Hei"/>
            <family val="2"/>
          </rPr>
          <t xml:space="preserve">요건 탭의 프로필</t>
        </r>
        <r>
          <rPr>
            <sz val="10"/>
            <rFont val="Arial"/>
            <family val="2"/>
          </rPr>
          <t xml:space="preserve">ID</t>
        </r>
      </text>
    </comment>
    <comment ref="I1" authorId="0">
      <text>
        <r>
          <rPr>
            <sz val="10"/>
            <rFont val="WenQuanYi Zen Hei"/>
            <family val="2"/>
          </rPr>
          <t xml:space="preserve">가격 결정에 쓴 오퍼</t>
        </r>
      </text>
    </comment>
    <comment ref="J1" authorId="0">
      <text>
        <r>
          <rPr>
            <sz val="10"/>
            <rFont val="WenQuanYi Zen Hei"/>
            <family val="2"/>
          </rPr>
          <t xml:space="preserve">가격 결정에 쓴 배송 시나리오</t>
        </r>
      </text>
    </comment>
    <comment ref="K1" authorId="0">
      <text>
        <r>
          <rPr>
            <sz val="10"/>
            <rFont val="WenQuanYi Zen Hei"/>
            <family val="2"/>
          </rPr>
          <t xml:space="preserve">결정 탭에 이유가 있어야 함</t>
        </r>
      </text>
    </comment>
    <comment ref="L1" authorId="0">
      <text>
        <r>
          <rPr>
            <sz val="10"/>
            <rFont val="WenQuanYi Zen Hei"/>
            <family val="2"/>
          </rPr>
          <t xml:space="preserve">고객에게 받는 배송비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수입 항목</t>
        </r>
        <r>
          <rPr>
            <sz val="10"/>
            <rFont val="Arial"/>
            <family val="2"/>
          </rPr>
          <t xml:space="preserve">)</t>
        </r>
      </text>
    </comment>
    <comment ref="M1" authorId="0">
      <text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근거 아님</t>
        </r>
      </text>
    </comment>
    <comment ref="N1" authorId="0">
      <text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근거 아님</t>
        </r>
      </text>
    </comment>
    <comment ref="O1" authorId="0">
      <text>
        <r>
          <rPr>
            <sz val="10"/>
            <rFont val="Arial"/>
            <family val="2"/>
          </rPr>
          <t xml:space="preserve">YYYY-MM-DD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S-001 </t>
        </r>
        <r>
          <rPr>
            <sz val="10"/>
            <rFont val="WenQuanYi Zen Hei"/>
            <family val="2"/>
          </rPr>
          <t xml:space="preserve">형식</t>
        </r>
      </text>
    </comment>
    <comment ref="C1" authorId="0">
      <text>
        <r>
          <rPr>
            <sz val="10"/>
            <rFont val="WenQuanYi Zen Hei"/>
            <family val="2"/>
          </rPr>
          <t xml:space="preserve">중국어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현지 표기</t>
        </r>
      </text>
    </comment>
    <comment ref="E1" authorId="0">
      <text>
        <r>
          <rPr>
            <sz val="10"/>
            <rFont val="WenQuanYi Zen Hei"/>
            <family val="2"/>
          </rPr>
          <t xml:space="preserve">旗舰店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WenQuanYi Zen Hei"/>
            <family val="2"/>
          </rPr>
          <t xml:space="preserve">브랜드공식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授权店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WenQuanYi Zen Hei"/>
            <family val="2"/>
          </rPr>
          <t xml:space="preserve">인가</t>
        </r>
      </text>
    </comment>
    <comment ref="H1" authorId="0">
      <text>
        <r>
          <rPr>
            <sz val="10"/>
            <rFont val="WenQuanYi Zen Hei"/>
            <family val="2"/>
          </rPr>
          <t xml:space="preserve">왕왕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알리왕왕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메시지 등</t>
        </r>
      </text>
    </comment>
    <comment ref="K1" authorId="0">
      <text>
        <r>
          <rPr>
            <sz val="10"/>
            <rFont val="WenQuanYi Zen Hei"/>
            <family val="2"/>
          </rPr>
          <t xml:space="preserve">카드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알리페이 등</t>
        </r>
      </text>
    </comment>
    <comment ref="L1" authorId="0">
      <text>
        <r>
          <rPr>
            <sz val="10"/>
            <rFont val="WenQuanYi Zen Hei"/>
            <family val="2"/>
          </rPr>
          <t xml:space="preserve">평점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거래 이력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응답 속도</t>
        </r>
      </text>
    </comment>
    <comment ref="M1" authorId="0">
      <text>
        <r>
          <rPr>
            <sz val="10"/>
            <rFont val="Arial"/>
            <family val="2"/>
          </rPr>
          <t xml:space="preserve">YYYY-MM-DD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O-001 </t>
        </r>
        <r>
          <rPr>
            <sz val="10"/>
            <rFont val="WenQuanYi Zen Hei"/>
            <family val="2"/>
          </rPr>
          <t xml:space="preserve">형식</t>
        </r>
      </text>
    </comment>
    <comment ref="B1" authorId="0">
      <text>
        <r>
          <rPr>
            <sz val="10"/>
            <rFont val="WenQuanYi Zen Hei"/>
            <family val="2"/>
          </rPr>
          <t xml:space="preserve">상품 탭</t>
        </r>
      </text>
    </comment>
    <comment ref="C1" authorId="0">
      <text>
        <r>
          <rPr>
            <sz val="10"/>
            <rFont val="WenQuanYi Zen Hei"/>
            <family val="2"/>
          </rPr>
          <t xml:space="preserve">공급처 탭</t>
        </r>
      </text>
    </comment>
    <comment ref="H1" authorId="0">
      <text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4</t>
        </r>
        <r>
          <rPr>
            <sz val="10"/>
            <rFont val="WenQuanYi Zen Hei"/>
            <family val="2"/>
          </rPr>
          <t xml:space="preserve">개 구매 시 중복 없음</t>
        </r>
      </text>
    </comment>
    <comment ref="K1" authorId="0">
      <text>
        <r>
          <rPr>
            <sz val="10"/>
            <rFont val="WenQuanYi Zen Hei"/>
            <family val="2"/>
          </rPr>
          <t xml:space="preserve">최소 주문 수량</t>
        </r>
      </text>
    </comment>
    <comment ref="M1" authorId="0">
      <text>
        <r>
          <rPr>
            <sz val="10"/>
            <rFont val="WenQuanYi Zen Hei"/>
            <family val="2"/>
          </rPr>
          <t xml:space="preserve">페이지에 보이는 가격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원래 통화</t>
        </r>
        <r>
          <rPr>
            <sz val="10"/>
            <rFont val="Arial"/>
            <family val="2"/>
          </rPr>
          <t xml:space="preserve">)</t>
        </r>
      </text>
    </comment>
    <comment ref="O1" authorId="0">
      <text>
        <r>
          <rPr>
            <sz val="10"/>
            <rFont val="WenQuanYi Zen Hei"/>
            <family val="2"/>
          </rPr>
          <t xml:space="preserve">결제 화면 기준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행사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쿠폰 반영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모르면 비움</t>
        </r>
      </text>
    </comment>
    <comment ref="Q1" authorId="0">
      <text>
        <r>
          <rPr>
            <sz val="10"/>
            <rFont val="WenQuanYi Zen Hei"/>
            <family val="2"/>
          </rPr>
          <t xml:space="preserve">가격에 포함된 배송</t>
        </r>
      </text>
    </comment>
    <comment ref="R1" authorId="0">
      <text>
        <r>
          <rPr>
            <sz val="10"/>
            <rFont val="WenQuanYi Zen Hei"/>
            <family val="2"/>
          </rPr>
          <t xml:space="preserve">판매자→대행창고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원래 통화</t>
        </r>
        <r>
          <rPr>
            <sz val="10"/>
            <rFont val="Arial"/>
            <family val="2"/>
          </rPr>
          <t xml:space="preserve">)</t>
        </r>
      </text>
    </comment>
    <comment ref="T1" authorId="0">
      <text>
        <r>
          <rPr>
            <sz val="10"/>
            <rFont val="WenQuanYi Zen Hei"/>
            <family val="2"/>
          </rPr>
          <t xml:space="preserve">직배송 시 판매자 청구액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원래 통화</t>
        </r>
        <r>
          <rPr>
            <sz val="10"/>
            <rFont val="Arial"/>
            <family val="2"/>
          </rPr>
          <t xml:space="preserve">)</t>
        </r>
      </text>
    </comment>
    <comment ref="V1" authorId="0">
      <text>
        <r>
          <rPr>
            <sz val="10"/>
            <rFont val="WenQuanYi Zen Hei"/>
            <family val="2"/>
          </rPr>
          <t xml:space="preserve">발송까지 걸리는 일수</t>
        </r>
      </text>
    </comment>
    <comment ref="AA1" authorId="0">
      <text>
        <r>
          <rPr>
            <sz val="10"/>
            <rFont val="WenQuanYi Zen Hei"/>
            <family val="2"/>
          </rPr>
          <t xml:space="preserve">캡처 없으면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확인</t>
        </r>
        <r>
          <rPr>
            <sz val="10"/>
            <rFont val="Arial"/>
            <family val="2"/>
          </rPr>
          <t xml:space="preserve">" </t>
        </r>
        <r>
          <rPr>
            <sz val="10"/>
            <rFont val="WenQuanYi Zen Hei"/>
            <family val="2"/>
          </rPr>
          <t xml:space="preserve">불가</t>
        </r>
      </text>
    </comment>
    <comment ref="AB1" authorId="0">
      <text>
        <r>
          <rPr>
            <sz val="10"/>
            <rFont val="Arial"/>
            <family val="2"/>
          </rPr>
          <t xml:space="preserve">YYYY-MM-DD</t>
        </r>
      </text>
    </comment>
    <comment ref="AC1" authorId="0">
      <text>
        <r>
          <rPr>
            <sz val="10"/>
            <rFont val="WenQuanYi Zen Hei"/>
            <family val="2"/>
          </rPr>
          <t xml:space="preserve">기본 확인일</t>
        </r>
        <r>
          <rPr>
            <sz val="10"/>
            <rFont val="Arial"/>
            <family val="2"/>
          </rPr>
          <t xml:space="preserve">+30</t>
        </r>
        <r>
          <rPr>
            <sz val="10"/>
            <rFont val="WenQuanYi Zen Hei"/>
            <family val="2"/>
          </rPr>
          <t xml:space="preserve">일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SC-001 </t>
        </r>
        <r>
          <rPr>
            <sz val="10"/>
            <rFont val="WenQuanYi Zen Hei"/>
            <family val="2"/>
          </rPr>
          <t xml:space="preserve">형식</t>
        </r>
      </text>
    </comment>
    <comment ref="F1" authorId="0">
      <text>
        <r>
          <rPr>
            <sz val="10"/>
            <rFont val="WenQuanYi Zen Hei"/>
            <family val="2"/>
          </rPr>
          <t xml:space="preserve">한 상자에 몇 개</t>
        </r>
      </text>
    </comment>
    <comment ref="J1" authorId="0">
      <text>
        <r>
          <rPr>
            <sz val="10"/>
            <rFont val="WenQuanYi Zen Hei"/>
            <family val="2"/>
          </rPr>
          <t xml:space="preserve">비우면 이 구간 없음</t>
        </r>
      </text>
    </comment>
    <comment ref="K1" authorId="0">
      <text>
        <r>
          <rPr>
            <sz val="10"/>
            <rFont val="WenQuanYi Zen Hei"/>
            <family val="2"/>
          </rPr>
          <t xml:space="preserve">운송사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대행업체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요율표</t>
        </r>
      </text>
    </comment>
    <comment ref="L1" authorId="0">
      <text>
        <r>
          <rPr>
            <sz val="10"/>
            <rFont val="WenQuanYi Zen Hei"/>
            <family val="2"/>
          </rPr>
          <t xml:space="preserve">소포당</t>
        </r>
        <r>
          <rPr>
            <sz val="10"/>
            <rFont val="Arial"/>
            <family val="2"/>
          </rPr>
          <t xml:space="preserve">. 0</t>
        </r>
        <r>
          <rPr>
            <sz val="10"/>
            <rFont val="WenQuanYi Zen Hei"/>
            <family val="2"/>
          </rPr>
          <t xml:space="preserve">이면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을 적고 상태 확인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모르면 비움</t>
        </r>
      </text>
    </comment>
    <comment ref="O1" authorId="0">
      <text>
        <r>
          <rPr>
            <sz val="10"/>
            <rFont val="WenQuanYi Zen Hei"/>
            <family val="2"/>
          </rPr>
          <t xml:space="preserve">이 견적에 포함된 것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국내택배</t>
        </r>
        <r>
          <rPr>
            <sz val="10"/>
            <rFont val="Arial"/>
            <family val="2"/>
          </rPr>
          <t xml:space="preserve">)</t>
        </r>
      </text>
    </comment>
    <comment ref="P1" authorId="0">
      <text>
        <r>
          <rPr>
            <sz val="10"/>
            <rFont val="WenQuanYi Zen Hei"/>
            <family val="2"/>
          </rPr>
          <t xml:space="preserve">비우면 이 구간 없음</t>
        </r>
      </text>
    </comment>
    <comment ref="Q1" authorId="0">
      <text>
        <r>
          <rPr>
            <sz val="10"/>
            <rFont val="WenQuanYi Zen Hei"/>
            <family val="2"/>
          </rPr>
          <t xml:space="preserve">운송사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대행업체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요율표</t>
        </r>
      </text>
    </comment>
    <comment ref="R1" authorId="0">
      <text>
        <r>
          <rPr>
            <sz val="10"/>
            <rFont val="WenQuanYi Zen Hei"/>
            <family val="2"/>
          </rPr>
          <t xml:space="preserve">소포당</t>
        </r>
        <r>
          <rPr>
            <sz val="10"/>
            <rFont val="Arial"/>
            <family val="2"/>
          </rPr>
          <t xml:space="preserve">. 0</t>
        </r>
        <r>
          <rPr>
            <sz val="10"/>
            <rFont val="WenQuanYi Zen Hei"/>
            <family val="2"/>
          </rPr>
          <t xml:space="preserve">이면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을 적고 상태 확인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모르면 비움</t>
        </r>
      </text>
    </comment>
    <comment ref="U1" authorId="0">
      <text>
        <r>
          <rPr>
            <sz val="10"/>
            <rFont val="WenQuanYi Zen Hei"/>
            <family val="2"/>
          </rPr>
          <t xml:space="preserve">이 견적에 포함된 것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국내택배</t>
        </r>
        <r>
          <rPr>
            <sz val="10"/>
            <rFont val="Arial"/>
            <family val="2"/>
          </rPr>
          <t xml:space="preserve">)</t>
        </r>
      </text>
    </comment>
    <comment ref="V1" authorId="0">
      <text>
        <r>
          <rPr>
            <sz val="10"/>
            <rFont val="WenQuanYi Zen Hei"/>
            <family val="2"/>
          </rPr>
          <t xml:space="preserve">비우면 이 구간 없음</t>
        </r>
      </text>
    </comment>
    <comment ref="W1" authorId="0">
      <text>
        <r>
          <rPr>
            <sz val="10"/>
            <rFont val="WenQuanYi Zen Hei"/>
            <family val="2"/>
          </rPr>
          <t xml:space="preserve">운송사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대행업체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요율표</t>
        </r>
      </text>
    </comment>
    <comment ref="X1" authorId="0">
      <text>
        <r>
          <rPr>
            <sz val="10"/>
            <rFont val="WenQuanYi Zen Hei"/>
            <family val="2"/>
          </rPr>
          <t xml:space="preserve">소포당</t>
        </r>
        <r>
          <rPr>
            <sz val="10"/>
            <rFont val="Arial"/>
            <family val="2"/>
          </rPr>
          <t xml:space="preserve">. 0</t>
        </r>
        <r>
          <rPr>
            <sz val="10"/>
            <rFont val="WenQuanYi Zen Hei"/>
            <family val="2"/>
          </rPr>
          <t xml:space="preserve">이면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을 적고 상태 확인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모르면 비움</t>
        </r>
      </text>
    </comment>
    <comment ref="AA1" authorId="0">
      <text>
        <r>
          <rPr>
            <sz val="10"/>
            <rFont val="WenQuanYi Zen Hei"/>
            <family val="2"/>
          </rPr>
          <t xml:space="preserve">이 견적에 포함된 것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국내택배</t>
        </r>
        <r>
          <rPr>
            <sz val="10"/>
            <rFont val="Arial"/>
            <family val="2"/>
          </rPr>
          <t xml:space="preserve">)</t>
        </r>
      </text>
    </comment>
    <comment ref="AC1" authorId="0">
      <text>
        <r>
          <rPr>
            <sz val="10"/>
            <rFont val="WenQuanYi Zen Hei"/>
            <family val="2"/>
          </rPr>
          <t xml:space="preserve">없으면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을 적고 상태 확인</t>
        </r>
      </text>
    </comment>
    <comment ref="AJ1" authorId="0">
      <text>
        <r>
          <rPr>
            <sz val="10"/>
            <rFont val="WenQuanYi Zen Hei"/>
            <family val="2"/>
          </rPr>
          <t xml:space="preserve">중복 경고 등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CALC-001 </t>
        </r>
        <r>
          <rPr>
            <sz val="10"/>
            <rFont val="WenQuanYi Zen Hei"/>
            <family val="2"/>
          </rPr>
          <t xml:space="preserve">형식</t>
        </r>
      </text>
    </comment>
    <comment ref="C1" authorId="0">
      <text>
        <r>
          <rPr>
            <sz val="10"/>
            <rFont val="WenQuanYi Zen Hei"/>
            <family val="2"/>
          </rPr>
          <t xml:space="preserve">오퍼 탭에서 실결제가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통화를 가져옴</t>
        </r>
      </text>
    </comment>
    <comment ref="D1" authorId="0">
      <text>
        <r>
          <rPr>
            <sz val="10"/>
            <rFont val="WenQuanYi Zen Hei"/>
            <family val="2"/>
          </rPr>
          <t xml:space="preserve">배송시나리오 탭에서 구간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관세를 가져옴</t>
        </r>
      </text>
    </comment>
    <comment ref="F1" authorId="0">
      <text>
        <r>
          <rPr>
            <sz val="10"/>
            <rFont val="Arial"/>
            <family val="2"/>
          </rPr>
          <t xml:space="preserve">YYYY-MM-DD</t>
        </r>
      </text>
    </comment>
    <comment ref="G1" authorId="0">
      <text>
        <r>
          <rPr>
            <sz val="10"/>
            <rFont val="WenQuanYi Zen Hei"/>
            <family val="2"/>
          </rPr>
          <t xml:space="preserve">오퍼 통화 기준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모르면 비움</t>
        </r>
      </text>
    </comment>
    <comment ref="I1" authorId="0">
      <text>
        <r>
          <rPr>
            <sz val="10"/>
            <rFont val="WenQuanYi Zen Hei"/>
            <family val="2"/>
          </rPr>
          <t xml:space="preserve">은행 고시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카드 실제</t>
        </r>
      </text>
    </comment>
    <comment ref="J1" authorId="0">
      <text>
        <r>
          <rPr>
            <sz val="10"/>
            <rFont val="WenQuanYi Zen Hei"/>
            <family val="2"/>
          </rPr>
          <t xml:space="preserve">검토할 판매가</t>
        </r>
      </text>
    </comment>
    <comment ref="K1" authorId="0">
      <text>
        <r>
          <rPr>
            <sz val="10"/>
            <rFont val="WenQuanYi Zen Hei"/>
            <family val="2"/>
          </rPr>
          <t xml:space="preserve">고객에게 받을 배송비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주문당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없으면 </t>
        </r>
        <r>
          <rPr>
            <sz val="10"/>
            <rFont val="Arial"/>
            <family val="2"/>
          </rPr>
          <t xml:space="preserve">0</t>
        </r>
      </text>
    </comment>
    <comment ref="L1" authorId="0">
      <text>
        <r>
          <rPr>
            <sz val="10"/>
            <rFont val="WenQuanYi Zen Hei"/>
            <family val="2"/>
          </rPr>
          <t xml:space="preserve">보통 </t>
        </r>
        <r>
          <rPr>
            <sz val="10"/>
            <rFont val="Arial"/>
            <family val="2"/>
          </rPr>
          <t xml:space="preserve">1</t>
        </r>
      </text>
    </comment>
    <comment ref="M1" authorId="0">
      <text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5.5% → 0.055</t>
        </r>
      </text>
    </comment>
    <comment ref="O1" authorId="0">
      <text>
        <r>
          <rPr>
            <sz val="10"/>
            <rFont val="WenQuanYi Zen Hei"/>
            <family val="2"/>
          </rPr>
          <t xml:space="preserve">청구 배송비에도 수수료가 붙는 채널이면 예</t>
        </r>
      </text>
    </comment>
    <comment ref="P1" authorId="0">
      <text>
        <r>
          <rPr>
            <sz val="10"/>
            <rFont val="WenQuanYi Zen Hei"/>
            <family val="2"/>
          </rPr>
          <t xml:space="preserve">카드 해외결제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환가료</t>
        </r>
      </text>
    </comment>
    <comment ref="R1" authorId="0">
      <text>
        <r>
          <rPr>
            <sz val="10"/>
            <rFont val="WenQuanYi Zen Hei"/>
            <family val="2"/>
          </rPr>
          <t xml:space="preserve">판매가 대비</t>
        </r>
      </text>
    </comment>
    <comment ref="W1" authorId="0">
      <text>
        <r>
          <rPr>
            <sz val="10"/>
            <rFont val="WenQuanYi Zen Hei"/>
            <family val="2"/>
          </rPr>
          <t xml:space="preserve">오퍼 탭 조회</t>
        </r>
      </text>
    </comment>
    <comment ref="Z1" authorId="0">
      <text>
        <r>
          <rPr>
            <sz val="10"/>
            <rFont val="WenQuanYi Zen Hei"/>
            <family val="2"/>
          </rPr>
          <t xml:space="preserve">시나리오 탭 조회</t>
        </r>
      </text>
    </comment>
    <comment ref="AR1" authorId="0">
      <text>
        <r>
          <rPr>
            <sz val="10"/>
            <rFont val="WenQuanYi Zen Hei"/>
            <family val="2"/>
          </rPr>
          <t xml:space="preserve">하나라도 있으면 아래 결과는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미확인</t>
        </r>
        <r>
          <rPr>
            <sz val="10"/>
            <rFont val="Arial"/>
            <family val="2"/>
          </rPr>
          <t xml:space="preserve">"</t>
        </r>
      </text>
    </comment>
    <comment ref="AT1" authorId="0">
      <text>
        <r>
          <rPr>
            <sz val="10"/>
            <rFont val="WenQuanYi Zen Hei"/>
            <family val="2"/>
          </rPr>
          <t xml:space="preserve">확인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추정 포함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미확인 </t>
        </r>
        <r>
          <rPr>
            <sz val="10"/>
            <rFont val="Arial"/>
            <family val="2"/>
          </rPr>
          <t xml:space="preserve">N</t>
        </r>
        <r>
          <rPr>
            <sz val="10"/>
            <rFont val="WenQuanYi Zen Hei"/>
            <family val="2"/>
          </rPr>
          <t xml:space="preserve">개</t>
        </r>
      </text>
    </comment>
    <comment ref="AU1" authorId="0">
      <text>
        <r>
          <rPr>
            <sz val="10"/>
            <rFont val="WenQuanYi Zen Hei"/>
            <family val="2"/>
          </rPr>
          <t xml:space="preserve">실결제가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환율</t>
        </r>
        <r>
          <rPr>
            <sz val="10"/>
            <rFont val="Arial"/>
            <family val="2"/>
          </rPr>
          <t xml:space="preserve">×(1+</t>
        </r>
        <r>
          <rPr>
            <sz val="10"/>
            <rFont val="WenQuanYi Zen Hei"/>
            <family val="2"/>
          </rPr>
          <t xml:space="preserve">해외결제수수료율</t>
        </r>
        <r>
          <rPr>
            <sz val="10"/>
            <rFont val="Arial"/>
            <family val="2"/>
          </rPr>
          <t xml:space="preserve">)</t>
        </r>
      </text>
    </comment>
    <comment ref="AV1" authorId="0">
      <text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구간 비용 합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관세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부가세</t>
        </r>
        <r>
          <rPr>
            <sz val="10"/>
            <rFont val="Arial"/>
            <family val="2"/>
          </rPr>
          <t xml:space="preserve">)/</t>
        </r>
        <r>
          <rPr>
            <sz val="10"/>
            <rFont val="WenQuanYi Zen Hei"/>
            <family val="2"/>
          </rPr>
          <t xml:space="preserve">소포당개수</t>
        </r>
      </text>
    </comment>
    <comment ref="AW1" authorId="0">
      <text>
        <r>
          <rPr>
            <sz val="10"/>
            <rFont val="WenQuanYi Zen Hei"/>
            <family val="2"/>
          </rPr>
          <t xml:space="preserve">매입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운송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검수포장</t>
        </r>
      </text>
    </comment>
    <comment ref="AX1" authorId="0">
      <text>
        <r>
          <rPr>
            <sz val="10"/>
            <rFont val="WenQuanYi Zen Hei"/>
            <family val="2"/>
          </rPr>
          <t xml:space="preserve">판매가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청구배송비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주문당개수</t>
        </r>
      </text>
    </comment>
    <comment ref="AY1" authorId="0">
      <text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판매가</t>
        </r>
        <r>
          <rPr>
            <sz val="10"/>
            <rFont val="Arial"/>
            <family val="2"/>
          </rPr>
          <t xml:space="preserve">[+</t>
        </r>
        <r>
          <rPr>
            <sz val="10"/>
            <rFont val="WenQuanYi Zen Hei"/>
            <family val="2"/>
          </rPr>
          <t xml:space="preserve">청구배송비</t>
        </r>
        <r>
          <rPr>
            <sz val="10"/>
            <rFont val="Arial"/>
            <family val="2"/>
          </rPr>
          <t xml:space="preserve">])×(</t>
        </r>
        <r>
          <rPr>
            <sz val="10"/>
            <rFont val="WenQuanYi Zen Hei"/>
            <family val="2"/>
          </rPr>
          <t xml:space="preserve">판매수수료율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결제수수료율</t>
        </r>
        <r>
          <rPr>
            <sz val="10"/>
            <rFont val="Arial"/>
            <family val="2"/>
          </rPr>
          <t xml:space="preserve">)</t>
        </r>
      </text>
    </comment>
    <comment ref="AZ1" authorId="0">
      <text>
        <r>
          <rPr>
            <sz val="10"/>
            <rFont val="WenQuanYi Zen Hei"/>
            <family val="2"/>
          </rPr>
          <t xml:space="preserve">수입−착지−채널−판매가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반품예비율</t>
        </r>
      </text>
    </comment>
    <comment ref="BA1" authorId="0">
      <text>
        <r>
          <rPr>
            <sz val="10"/>
            <rFont val="WenQuanYi Zen Hei"/>
            <family val="2"/>
          </rPr>
          <t xml:space="preserve">공헌이익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수입</t>
        </r>
      </text>
    </comment>
    <comment ref="BB1" authorId="0">
      <text>
        <r>
          <rPr>
            <sz val="10"/>
            <rFont val="WenQuanYi Zen Hei"/>
            <family val="2"/>
          </rPr>
          <t xml:space="preserve">공헌이익−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광고비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고정비</t>
        </r>
        <r>
          <rPr>
            <sz val="10"/>
            <rFont val="Arial"/>
            <family val="2"/>
          </rPr>
          <t xml:space="preserve">)/</t>
        </r>
        <r>
          <rPr>
            <sz val="10"/>
            <rFont val="WenQuanYi Zen Hei"/>
            <family val="2"/>
          </rPr>
          <t xml:space="preserve">예상월판매개수</t>
        </r>
      </text>
    </comment>
    <comment ref="BC1" authorId="0">
      <text>
        <r>
          <rPr>
            <sz val="10"/>
            <rFont val="WenQuanYi Zen Hei"/>
            <family val="2"/>
          </rPr>
          <t xml:space="preserve">공헌이익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이 되는 판매가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C-001 </t>
        </r>
        <r>
          <rPr>
            <sz val="10"/>
            <rFont val="WenQuanYi Zen Hei"/>
            <family val="2"/>
          </rPr>
          <t xml:space="preserve">형식</t>
        </r>
      </text>
    </comment>
    <comment ref="F1" authorId="0">
      <text>
        <r>
          <rPr>
            <sz val="10"/>
            <rFont val="WenQuanYi Zen Hei"/>
            <family val="2"/>
          </rPr>
          <t xml:space="preserve">표시 정가</t>
        </r>
      </text>
    </comment>
    <comment ref="M1" authorId="0">
      <text>
        <r>
          <rPr>
            <sz val="10"/>
            <rFont val="WenQuanYi Zen Hei"/>
            <family val="2"/>
          </rPr>
          <t xml:space="preserve">이 탭의 내용은 근거가 아니라 참고</t>
        </r>
        <r>
          <rPr>
            <sz val="10"/>
            <rFont val="Arial"/>
            <family val="2"/>
          </rPr>
          <t xml:space="preserve">(R-09)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R-001 </t>
        </r>
        <r>
          <rPr>
            <sz val="10"/>
            <rFont val="WenQuanYi Zen Hei"/>
            <family val="2"/>
          </rPr>
          <t xml:space="preserve">형식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캐릭터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카테고리</t>
        </r>
        <r>
          <rPr>
            <sz val="10"/>
            <rFont val="Arial"/>
            <family val="2"/>
          </rPr>
          <t xml:space="preserve">)</t>
        </r>
      </text>
    </comment>
    <comment ref="I1" authorId="0">
      <text>
        <r>
          <rPr>
            <sz val="10"/>
            <rFont val="WenQuanYi Zen Hei"/>
            <family val="2"/>
          </rPr>
          <t xml:space="preserve">조건부일 때 지켜야 할 것</t>
        </r>
      </text>
    </comment>
    <comment ref="M1" authorId="0">
      <text>
        <r>
          <rPr>
            <sz val="10"/>
            <rFont val="WenQuanYi Zen Hei"/>
            <family val="2"/>
          </rPr>
          <t xml:space="preserve">기본 확인일</t>
        </r>
        <r>
          <rPr>
            <sz val="10"/>
            <rFont val="Arial"/>
            <family val="2"/>
          </rPr>
          <t xml:space="preserve">+180</t>
        </r>
        <r>
          <rPr>
            <sz val="10"/>
            <rFont val="WenQuanYi Zen Hei"/>
            <family val="2"/>
          </rPr>
          <t xml:space="preserve">일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D-01 </t>
        </r>
        <r>
          <rPr>
            <sz val="10"/>
            <rFont val="WenQuanYi Zen Hei"/>
            <family val="2"/>
          </rPr>
          <t xml:space="preserve">형식</t>
        </r>
      </text>
    </comment>
    <comment ref="E1" authorId="0">
      <text>
        <r>
          <rPr>
            <sz val="10"/>
            <rFont val="WenQuanYi Zen Hei"/>
            <family val="2"/>
          </rPr>
          <t xml:space="preserve">필수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T-001 </t>
        </r>
        <r>
          <rPr>
            <sz val="10"/>
            <rFont val="WenQuanYi Zen Hei"/>
            <family val="2"/>
          </rPr>
          <t xml:space="preserve">형식</t>
        </r>
      </text>
    </comment>
    <comment ref="C1" authorId="0">
      <text>
        <r>
          <rPr>
            <sz val="10"/>
            <rFont val="WenQuanYi Zen Hei"/>
            <family val="2"/>
          </rPr>
          <t xml:space="preserve">상품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오퍼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프로필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결정 </t>
        </r>
        <r>
          <rPr>
            <sz val="10"/>
            <rFont val="Arial"/>
            <family val="2"/>
          </rPr>
          <t xml:space="preserve">ID</t>
        </r>
      </text>
    </comment>
    <comment ref="D1" authorId="0">
      <text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막힘해소</t>
        </r>
        <r>
          <rPr>
            <sz val="10"/>
            <rFont val="Arial"/>
            <family val="2"/>
          </rPr>
          <t xml:space="preserve">, 2 </t>
        </r>
        <r>
          <rPr>
            <sz val="10"/>
            <rFont val="WenQuanYi Zen Hei"/>
            <family val="2"/>
          </rPr>
          <t xml:space="preserve">기한초과</t>
        </r>
        <r>
          <rPr>
            <sz val="10"/>
            <rFont val="Arial"/>
            <family val="2"/>
          </rPr>
          <t xml:space="preserve">, 3 </t>
        </r>
        <r>
          <rPr>
            <sz val="10"/>
            <rFont val="WenQuanYi Zen Hei"/>
            <family val="2"/>
          </rPr>
          <t xml:space="preserve">단계필수</t>
        </r>
        <r>
          <rPr>
            <sz val="10"/>
            <rFont val="Arial"/>
            <family val="2"/>
          </rPr>
          <t xml:space="preserve">, 4 </t>
        </r>
        <r>
          <rPr>
            <sz val="10"/>
            <rFont val="WenQuanYi Zen Hei"/>
            <family val="2"/>
          </rPr>
          <t xml:space="preserve">권장</t>
        </r>
      </text>
    </comment>
    <comment ref="G1" authorId="0">
      <text>
        <r>
          <rPr>
            <sz val="10"/>
            <rFont val="WenQuanYi Zen Hei"/>
            <family val="2"/>
          </rPr>
          <t xml:space="preserve">막힘이면 필수</t>
        </r>
      </text>
    </comment>
    <comment ref="H1" authorId="0">
      <text>
        <r>
          <rPr>
            <sz val="10"/>
            <rFont val="WenQuanYi Zen Hei"/>
            <family val="2"/>
          </rPr>
          <t xml:space="preserve">막힘이면 필수</t>
        </r>
      </text>
    </comment>
    <comment ref="I1" authorId="0">
      <text>
        <r>
          <rPr>
            <sz val="10"/>
            <rFont val="WenQuanYi Zen Hei"/>
            <family val="2"/>
          </rPr>
          <t xml:space="preserve">막힘이면 필수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YYYY-MM-DD</t>
        </r>
      </text>
    </comment>
    <comment ref="C1" authorId="0">
      <text>
        <r>
          <rPr>
            <sz val="10"/>
            <rFont val="WenQuanYi Zen Hei"/>
            <family val="2"/>
          </rPr>
          <t xml:space="preserve">외화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단위당 </t>
        </r>
        <r>
          <rPr>
            <sz val="10"/>
            <rFont val="Arial"/>
            <family val="2"/>
          </rPr>
          <t xml:space="preserve">KRW</t>
        </r>
      </text>
    </comment>
  </commentList>
</comments>
</file>

<file path=xl/sharedStrings.xml><?xml version="1.0" encoding="utf-8"?>
<sst xmlns="http://schemas.openxmlformats.org/spreadsheetml/2006/main" count="1011" uniqueCount="521">
  <si>
    <r>
      <rPr>
        <b val="true"/>
        <sz val="14"/>
        <rFont val="WenQuanYi Zen Hei"/>
        <family val="2"/>
      </rPr>
      <t xml:space="preserve">조사 시트 템플릿 </t>
    </r>
    <r>
      <rPr>
        <b val="true"/>
        <sz val="14"/>
        <rFont val="Arial"/>
        <family val="0"/>
        <charset val="1"/>
      </rPr>
      <t xml:space="preserve">v1</t>
    </r>
  </si>
  <si>
    <t xml:space="preserve">만든 날</t>
  </si>
  <si>
    <r>
      <rPr>
        <sz val="10"/>
        <rFont val="Arial"/>
        <family val="0"/>
        <charset val="1"/>
      </rPr>
      <t xml:space="preserve">2026-09-16 · </t>
    </r>
    <r>
      <rPr>
        <sz val="10"/>
        <rFont val="WenQuanYi Zen Hei"/>
        <family val="2"/>
      </rPr>
      <t xml:space="preserve">기획서 </t>
    </r>
    <r>
      <rPr>
        <sz val="10"/>
        <rFont val="Arial"/>
        <family val="0"/>
        <charset val="1"/>
      </rPr>
      <t xml:space="preserve">docs/PLAN.md, </t>
    </r>
    <r>
      <rPr>
        <sz val="10"/>
        <rFont val="WenQuanYi Zen Hei"/>
        <family val="2"/>
      </rPr>
      <t xml:space="preserve">열 구조 </t>
    </r>
    <r>
      <rPr>
        <sz val="10"/>
        <rFont val="Arial"/>
        <family val="0"/>
        <charset val="1"/>
      </rPr>
      <t xml:space="preserve">docs/RESEARCH_SHEET.md</t>
    </r>
  </si>
  <si>
    <t xml:space="preserve">목적</t>
  </si>
  <si>
    <r>
      <rPr>
        <sz val="10"/>
        <rFont val="WenQuanYi Zen Hei"/>
        <family val="2"/>
      </rPr>
      <t xml:space="preserve">프로그램</t>
    </r>
    <r>
      <rPr>
        <sz val="10"/>
        <rFont val="Arial"/>
        <family val="0"/>
        <charset val="1"/>
      </rPr>
      <t xml:space="preserve">(M0~M1)</t>
    </r>
    <r>
      <rPr>
        <sz val="10"/>
        <rFont val="WenQuanYi Zen Hei"/>
        <family val="2"/>
      </rPr>
      <t xml:space="preserve">이 만들어지기 전까지 조사 내용을 같은 구조로 기록한다</t>
    </r>
    <r>
      <rPr>
        <sz val="10"/>
        <rFont val="Arial"/>
        <family val="0"/>
        <charset val="1"/>
      </rPr>
      <t xml:space="preserve">. M0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가져오기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가 이 파일을 그대로 읽는다</t>
    </r>
    <r>
      <rPr>
        <sz val="10"/>
        <rFont val="Arial"/>
        <family val="0"/>
        <charset val="1"/>
      </rPr>
      <t xml:space="preserve">.</t>
    </r>
  </si>
  <si>
    <t xml:space="preserve">색 규칙</t>
  </si>
  <si>
    <r>
      <rPr>
        <sz val="10"/>
        <rFont val="WenQuanYi Zen Hei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직접 입력하는 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고치지 않음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노란 배경 헤더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원가 계산에 꼭 필요한 입력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회색 배경 행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 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실제 데이터 아님</t>
    </r>
    <r>
      <rPr>
        <sz val="10"/>
        <rFont val="Arial"/>
        <family val="0"/>
        <charset val="1"/>
      </rPr>
      <t xml:space="preserve">).</t>
    </r>
  </si>
  <si>
    <t xml:space="preserve">상태 값</t>
  </si>
  <si>
    <r>
      <rPr>
        <sz val="10"/>
        <rFont val="WenQuanYi Zen Hei"/>
        <family val="2"/>
      </rPr>
      <t xml:space="preserve">확인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날짜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캡처가 있음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추정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근거는 있으나 직접 확인 안 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미확인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모름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금액 칸이 비어 있으면 미확인으로 취급한다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</si>
  <si>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원칙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</si>
  <si>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모르는 금액을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으로 적지 않는다</t>
    </r>
    <r>
      <rPr>
        <sz val="10"/>
        <rFont val="Arial"/>
        <family val="0"/>
        <charset val="1"/>
      </rPr>
      <t xml:space="preserve">. 0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"0</t>
    </r>
    <r>
      <rPr>
        <sz val="10"/>
        <rFont val="WenQuanYi Zen Hei"/>
        <family val="2"/>
      </rPr>
      <t xml:space="preserve">원임을 확인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했을 때만 적고 상태를 확인으로 둔다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</si>
  <si>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원칙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</si>
  <si>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금액은 원래 통화로 적는다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원화 환산은 원가계산 탭의 환율 칸에서만 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</si>
  <si>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원칙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</si>
  <si>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배송 견적은 캡처 파일명이 있어야 확인이다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링크만 있으면 추정이다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</si>
  <si>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원칙 </t>
    </r>
    <r>
      <rPr>
        <b val="true"/>
        <sz val="10"/>
        <rFont val="Arial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</si>
  <si>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경쟁사관찰 탭은 참고용이다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요건 판정이나 가격 결정의 근거로 쓰지 않는다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</si>
  <si>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원칙 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</si>
  <si>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WenQuanYi Zen Hei"/>
        <family val="2"/>
      </rPr>
      <t xml:space="preserve">결정 탭에는 이유 없는 결정을 적지 않는다</t>
    </r>
    <r>
      <rPr>
        <sz val="10"/>
        <rFont val="Arial"/>
        <family val="0"/>
        <charset val="1"/>
      </rPr>
      <t xml:space="preserve">.</t>
    </r>
  </si>
  <si>
    <t xml:space="preserve">원가계산 탭</t>
  </si>
  <si>
    <r>
      <rPr>
        <sz val="10"/>
        <rFont val="WenQuanYi Zen Hei"/>
        <family val="2"/>
      </rPr>
      <t xml:space="preserve">오퍼</t>
    </r>
    <r>
      <rPr>
        <sz val="10"/>
        <rFont val="Arial"/>
        <family val="0"/>
        <charset val="1"/>
      </rPr>
      <t xml:space="preserve">ID·</t>
    </r>
    <r>
      <rPr>
        <sz val="10"/>
        <rFont val="WenQuanYi Zen Hei"/>
        <family val="2"/>
      </rPr>
      <t xml:space="preserve">시나리오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를 적으면 실결제가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구간 비용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관세를 자동으로 가져온다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미확인이 하나라도 있으면 결과 칸에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미확인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이 나온다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한 계산 행에서는 외화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오퍼 통화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만 가정하며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모든 구간 비용은 소포당으로 적는다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</si>
  <si>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규칙</t>
    </r>
  </si>
  <si>
    <r>
      <rPr>
        <sz val="10"/>
        <rFont val="WenQuanYi Zen Hei"/>
        <family val="2"/>
      </rPr>
      <t xml:space="preserve">상품 </t>
    </r>
    <r>
      <rPr>
        <sz val="10"/>
        <rFont val="Arial"/>
        <family val="0"/>
        <charset val="1"/>
      </rPr>
      <t xml:space="preserve">P-, </t>
    </r>
    <r>
      <rPr>
        <sz val="10"/>
        <rFont val="WenQuanYi Zen Hei"/>
        <family val="2"/>
      </rPr>
      <t xml:space="preserve">공급처 </t>
    </r>
    <r>
      <rPr>
        <sz val="10"/>
        <rFont val="Arial"/>
        <family val="0"/>
        <charset val="1"/>
      </rPr>
      <t xml:space="preserve">S-, </t>
    </r>
    <r>
      <rPr>
        <sz val="10"/>
        <rFont val="WenQuanYi Zen Hei"/>
        <family val="2"/>
      </rPr>
      <t xml:space="preserve">오퍼 </t>
    </r>
    <r>
      <rPr>
        <sz val="10"/>
        <rFont val="Arial"/>
        <family val="0"/>
        <charset val="1"/>
      </rPr>
      <t xml:space="preserve">O-, </t>
    </r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SC-, </t>
    </r>
    <r>
      <rPr>
        <sz val="10"/>
        <rFont val="WenQuanYi Zen Hei"/>
        <family val="2"/>
      </rPr>
      <t xml:space="preserve">계산 </t>
    </r>
    <r>
      <rPr>
        <sz val="10"/>
        <rFont val="Arial"/>
        <family val="0"/>
        <charset val="1"/>
      </rPr>
      <t xml:space="preserve">CALC-, </t>
    </r>
    <r>
      <rPr>
        <sz val="10"/>
        <rFont val="WenQuanYi Zen Hei"/>
        <family val="2"/>
      </rPr>
      <t xml:space="preserve">경쟁사 </t>
    </r>
    <r>
      <rPr>
        <sz val="10"/>
        <rFont val="Arial"/>
        <family val="0"/>
        <charset val="1"/>
      </rPr>
      <t xml:space="preserve">C-, </t>
    </r>
    <r>
      <rPr>
        <sz val="10"/>
        <rFont val="WenQuanYi Zen Hei"/>
        <family val="2"/>
      </rPr>
      <t xml:space="preserve">요건 프로필 </t>
    </r>
    <r>
      <rPr>
        <sz val="10"/>
        <rFont val="Arial"/>
        <family val="0"/>
        <charset val="1"/>
      </rPr>
      <t xml:space="preserve">R-, </t>
    </r>
    <r>
      <rPr>
        <sz val="10"/>
        <rFont val="WenQuanYi Zen Hei"/>
        <family val="2"/>
      </rPr>
      <t xml:space="preserve">결정 </t>
    </r>
    <r>
      <rPr>
        <sz val="10"/>
        <rFont val="Arial"/>
        <family val="0"/>
        <charset val="1"/>
      </rPr>
      <t xml:space="preserve">D-, </t>
    </r>
    <r>
      <rPr>
        <sz val="10"/>
        <rFont val="WenQuanYi Zen Hei"/>
        <family val="2"/>
      </rPr>
      <t xml:space="preserve">작업 </t>
    </r>
    <r>
      <rPr>
        <sz val="10"/>
        <rFont val="Arial"/>
        <family val="0"/>
        <charset val="1"/>
      </rPr>
      <t xml:space="preserve">T-. </t>
    </r>
    <r>
      <rPr>
        <sz val="10"/>
        <rFont val="WenQuanYi Zen Hei"/>
        <family val="2"/>
      </rPr>
      <t xml:space="preserve">예시 행은 </t>
    </r>
    <r>
      <rPr>
        <sz val="10"/>
        <rFont val="Arial"/>
        <family val="0"/>
        <charset val="1"/>
      </rPr>
      <t xml:space="preserve">-EX1.</t>
    </r>
  </si>
  <si>
    <t xml:space="preserve">탭</t>
  </si>
  <si>
    <r>
      <rPr>
        <sz val="10"/>
        <rFont val="WenQuanYi Zen Hei"/>
        <family val="2"/>
      </rPr>
      <t xml:space="preserve">상품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공급처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오퍼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배송시나리오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원가계산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경쟁사관찰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요건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결정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작업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환율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비용항목</t>
    </r>
  </si>
  <si>
    <t xml:space="preserve">출처</t>
  </si>
  <si>
    <r>
      <rPr>
        <sz val="10"/>
        <rFont val="WenQuanYi Zen Hei"/>
        <family val="2"/>
      </rPr>
      <t xml:space="preserve">초기 값의 출처는 </t>
    </r>
    <r>
      <rPr>
        <sz val="10"/>
        <rFont val="Arial"/>
        <family val="0"/>
        <charset val="1"/>
      </rPr>
      <t xml:space="preserve">docs/SEED_RESEARCH.md 10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예시 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회색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숫자는 형식을 보여 주기 위한 가상 값이다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</si>
  <si>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상품</t>
    </r>
    <r>
      <rPr>
        <b val="true"/>
        <sz val="10"/>
        <rFont val="Arial"/>
        <family val="0"/>
        <charset val="1"/>
      </rPr>
      <t xml:space="preserve">ID</t>
    </r>
  </si>
  <si>
    <t xml:space="preserve">상품명</t>
  </si>
  <si>
    <t xml:space="preserve">캐릭터</t>
  </si>
  <si>
    <t xml:space="preserve">카테고리</t>
  </si>
  <si>
    <t xml:space="preserve">옵션방식</t>
  </si>
  <si>
    <t xml:space="preserve">연령표시</t>
  </si>
  <si>
    <t xml:space="preserve">상태</t>
  </si>
  <si>
    <r>
      <rPr>
        <b val="true"/>
        <sz val="10"/>
        <rFont val="WenQuanYi Zen Hei"/>
        <family val="2"/>
      </rPr>
      <t xml:space="preserve">요건프로필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</si>
  <si>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WenQuanYi Zen Hei"/>
        <family val="2"/>
      </rPr>
      <t xml:space="preserve">선택오퍼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</si>
  <si>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WenQuanYi Zen Hei"/>
        <family val="2"/>
      </rPr>
      <t xml:space="preserve">선택시나리오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</si>
  <si>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WenQuanYi Zen Hei"/>
        <family val="2"/>
      </rPr>
      <t xml:space="preserve">결정판매가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</si>
  <si>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결정청구배송비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</si>
  <si>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경쟁사참고</t>
    </r>
    <r>
      <rPr>
        <b val="true"/>
        <sz val="10"/>
        <rFont val="Arial"/>
        <family val="0"/>
        <charset val="1"/>
      </rPr>
      <t xml:space="preserve">URL</t>
    </r>
  </si>
  <si>
    <r>
      <rPr>
        <b val="true"/>
        <sz val="10"/>
        <rFont val="WenQuanYi Zen Hei"/>
        <family val="2"/>
      </rPr>
      <t xml:space="preserve">경쟁사가격</t>
    </r>
    <r>
      <rPr>
        <b val="true"/>
        <sz val="10"/>
        <rFont val="Arial"/>
        <family val="0"/>
        <charset val="1"/>
      </rPr>
      <t xml:space="preserve">(KRW)</t>
    </r>
  </si>
  <si>
    <t xml:space="preserve">경쟁사관찰일</t>
  </si>
  <si>
    <t xml:space="preserve">메모</t>
  </si>
  <si>
    <t xml:space="preserve">P-001</t>
  </si>
  <si>
    <r>
      <rPr>
        <sz val="10"/>
        <rFont val="WenQuanYi Zen Hei"/>
        <family val="2"/>
      </rPr>
      <t xml:space="preserve">브로콜리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채소 핑구 인형</t>
    </r>
  </si>
  <si>
    <t xml:space="preserve">핑구</t>
  </si>
  <si>
    <t xml:space="preserve">봉제인형</t>
  </si>
  <si>
    <t xml:space="preserve">지정</t>
  </si>
  <si>
    <t xml:space="preserve">발견</t>
  </si>
  <si>
    <t xml:space="preserve">R-001</t>
  </si>
  <si>
    <t xml:space="preserve">https://solethings.co.kr/product/detail.html?product_no=2417</t>
  </si>
  <si>
    <r>
      <rPr>
        <sz val="10"/>
        <rFont val="WenQuanYi Zen Hei"/>
        <family val="2"/>
      </rPr>
      <t xml:space="preserve">경쟁사 가격은 조사일 미상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재확인 필요</t>
    </r>
  </si>
  <si>
    <t xml:space="preserve">P-002</t>
  </si>
  <si>
    <t xml:space="preserve">이모션 핑구 랜덤 인형 키링</t>
  </si>
  <si>
    <t xml:space="preserve">인형 키링</t>
  </si>
  <si>
    <t xml:space="preserve">랜덤</t>
  </si>
  <si>
    <t xml:space="preserve">조사</t>
  </si>
  <si>
    <t xml:space="preserve">R-002</t>
  </si>
  <si>
    <t xml:space="preserve">https://solethings.co.kr/product/detail.html?product_no=2415</t>
  </si>
  <si>
    <t xml:space="preserve">2026-09-16</t>
  </si>
  <si>
    <r>
      <rPr>
        <sz val="10"/>
        <rFont val="WenQuanYi Zen Hei"/>
        <family val="2"/>
      </rPr>
      <t xml:space="preserve">소비자가 </t>
    </r>
    <r>
      <rPr>
        <sz val="10"/>
        <rFont val="Arial"/>
        <family val="0"/>
        <charset val="1"/>
      </rPr>
      <t xml:space="preserve">30,000</t>
    </r>
    <r>
      <rPr>
        <sz val="10"/>
        <rFont val="WenQuanYi Zen Hei"/>
        <family val="2"/>
      </rPr>
      <t xml:space="preserve">원 표기</t>
    </r>
    <r>
      <rPr>
        <sz val="10"/>
        <rFont val="Arial"/>
        <family val="0"/>
        <charset val="1"/>
      </rPr>
      <t xml:space="preserve">. 4</t>
    </r>
    <r>
      <rPr>
        <sz val="10"/>
        <rFont val="WenQuanYi Zen Hei"/>
        <family val="2"/>
      </rPr>
      <t xml:space="preserve">개 구매 시 중복 없음</t>
    </r>
  </si>
  <si>
    <t xml:space="preserve">P-003</t>
  </si>
  <si>
    <t xml:space="preserve">코끼리 핑구 인형</t>
  </si>
  <si>
    <t xml:space="preserve">https://solethings.co.kr/product/detail.html?product_no=2411</t>
  </si>
  <si>
    <t xml:space="preserve">조사일 미상</t>
  </si>
  <si>
    <t xml:space="preserve">P-004</t>
  </si>
  <si>
    <t xml:space="preserve">놀이동산 핑구 랜덤 인형 키링</t>
  </si>
  <si>
    <t xml:space="preserve">https://solethings.co.kr/product/detail.html?product_no=2399</t>
  </si>
  <si>
    <r>
      <rPr>
        <sz val="10"/>
        <rFont val="WenQuanYi Zen Hei"/>
        <family val="2"/>
      </rPr>
      <t xml:space="preserve">기본가 </t>
    </r>
    <r>
      <rPr>
        <sz val="10"/>
        <rFont val="Arial"/>
        <family val="0"/>
        <charset val="1"/>
      </rPr>
      <t xml:space="preserve">16,500 + </t>
    </r>
    <r>
      <rPr>
        <sz val="10"/>
        <rFont val="WenQuanYi Zen Hei"/>
        <family val="2"/>
      </rPr>
      <t xml:space="preserve">필수 옵션 </t>
    </r>
    <r>
      <rPr>
        <sz val="10"/>
        <rFont val="Arial"/>
        <family val="0"/>
        <charset val="1"/>
      </rPr>
      <t xml:space="preserve">6,000</t>
    </r>
  </si>
  <si>
    <r>
      <rPr>
        <b val="true"/>
        <sz val="10"/>
        <rFont val="WenQuanYi Zen Hei"/>
        <family val="2"/>
      </rPr>
      <t xml:space="preserve">공급처</t>
    </r>
    <r>
      <rPr>
        <b val="true"/>
        <sz val="10"/>
        <rFont val="Arial"/>
        <family val="0"/>
        <charset val="1"/>
      </rPr>
      <t xml:space="preserve">ID</t>
    </r>
  </si>
  <si>
    <t xml:space="preserve">이름</t>
  </si>
  <si>
    <t xml:space="preserve">현지이름</t>
  </si>
  <si>
    <t xml:space="preserve">플랫폼</t>
  </si>
  <si>
    <t xml:space="preserve">판매자유형</t>
  </si>
  <si>
    <r>
      <rPr>
        <b val="true"/>
        <sz val="10"/>
        <rFont val="WenQuanYi Zen Hei"/>
        <family val="2"/>
      </rPr>
      <t xml:space="preserve">매장</t>
    </r>
    <r>
      <rPr>
        <b val="true"/>
        <sz val="10"/>
        <rFont val="Arial"/>
        <family val="0"/>
        <charset val="1"/>
      </rPr>
      <t xml:space="preserve">URL</t>
    </r>
  </si>
  <si>
    <t xml:space="preserve">국가</t>
  </si>
  <si>
    <t xml:space="preserve">연락수단</t>
  </si>
  <si>
    <t xml:space="preserve">한국직배송</t>
  </si>
  <si>
    <t xml:space="preserve">한국직배송상태</t>
  </si>
  <si>
    <t xml:space="preserve">결제수단</t>
  </si>
  <si>
    <t xml:space="preserve">신뢰메모</t>
  </si>
  <si>
    <t xml:space="preserve">마지막연락일</t>
  </si>
  <si>
    <t xml:space="preserve">S-001</t>
  </si>
  <si>
    <t xml:space="preserve">MiiTAKI</t>
  </si>
  <si>
    <t xml:space="preserve">米塔集</t>
  </si>
  <si>
    <t xml:space="preserve">기타</t>
  </si>
  <si>
    <t xml:space="preserve">미상</t>
  </si>
  <si>
    <t xml:space="preserve">https://tao.hooos.com/goods_xV4mNnJcktqx9zWbZauQWQFAt9-NeRBBoczKyg7OpDhV.html</t>
  </si>
  <si>
    <t xml:space="preserve">CN</t>
  </si>
  <si>
    <t xml:space="preserve">미확인</t>
  </si>
  <si>
    <r>
      <rPr>
        <sz val="10"/>
        <rFont val="WenQuanYi Zen Hei"/>
        <family val="2"/>
      </rPr>
      <t xml:space="preserve">집계 페이지 경유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매장 미확인</t>
    </r>
  </si>
  <si>
    <t xml:space="preserve">S-002</t>
  </si>
  <si>
    <t xml:space="preserve">SHANDMOO</t>
  </si>
  <si>
    <t xml:space="preserve">山莫</t>
  </si>
  <si>
    <t xml:space="preserve">티몰</t>
  </si>
  <si>
    <t xml:space="preserve">https://detail.tmall.com/item.htm?id=1043043512765</t>
  </si>
  <si>
    <r>
      <rPr>
        <sz val="10"/>
        <rFont val="WenQuanYi Zen Hei"/>
        <family val="2"/>
      </rPr>
      <t xml:space="preserve">旗舰店 여부 미확인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타오바오 로그인 어려움</t>
    </r>
  </si>
  <si>
    <t xml:space="preserve">S-003</t>
  </si>
  <si>
    <r>
      <rPr>
        <sz val="10"/>
        <rFont val="Arial"/>
        <family val="0"/>
        <charset val="1"/>
      </rPr>
      <t xml:space="preserve">Ruten </t>
    </r>
    <r>
      <rPr>
        <sz val="10"/>
        <rFont val="WenQuanYi Zen Hei"/>
        <family val="2"/>
      </rPr>
      <t xml:space="preserve">판매자</t>
    </r>
  </si>
  <si>
    <t xml:space="preserve">루텐</t>
  </si>
  <si>
    <t xml:space="preserve">일반</t>
  </si>
  <si>
    <t xml:space="preserve">https://www.ruten.com.tw/item/22637588567212/</t>
  </si>
  <si>
    <t xml:space="preserve">TW</t>
  </si>
  <si>
    <r>
      <rPr>
        <sz val="10"/>
        <rFont val="WenQuanYi Zen Hei"/>
        <family val="2"/>
      </rPr>
      <t xml:space="preserve">대만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통화 </t>
    </r>
    <r>
      <rPr>
        <sz val="10"/>
        <rFont val="Arial"/>
        <family val="0"/>
        <charset val="1"/>
      </rPr>
      <t xml:space="preserve">TWD</t>
    </r>
  </si>
  <si>
    <t xml:space="preserve">S-EX1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</si>
  <si>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가상 판매자</t>
    </r>
  </si>
  <si>
    <t xml:space="preserve">示例</t>
  </si>
  <si>
    <t xml:space="preserve">타오바오</t>
  </si>
  <si>
    <t xml:space="preserve">인가</t>
  </si>
  <si>
    <t xml:space="preserve">https://example.invalid/shop</t>
  </si>
  <si>
    <t xml:space="preserve">알리왕왕</t>
  </si>
  <si>
    <t xml:space="preserve">가능</t>
  </si>
  <si>
    <t xml:space="preserve">추정</t>
  </si>
  <si>
    <t xml:space="preserve">카드</t>
  </si>
  <si>
    <r>
      <rPr>
        <sz val="10"/>
        <rFont val="WenQuanYi Zen Hei"/>
        <family val="2"/>
      </rPr>
      <t xml:space="preserve">예시 행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데이터 아님</t>
    </r>
  </si>
  <si>
    <t xml:space="preserve">2026-09-01</t>
  </si>
  <si>
    <r>
      <rPr>
        <b val="true"/>
        <sz val="10"/>
        <rFont val="WenQuanYi Zen Hei"/>
        <family val="2"/>
      </rPr>
      <t xml:space="preserve">오퍼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</si>
  <si>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WenQuanYi Zen Hei"/>
        <family val="2"/>
      </rPr>
      <t xml:space="preserve">상품</t>
    </r>
    <r>
      <rPr>
        <b val="true"/>
        <sz val="10"/>
        <rFont val="Arial"/>
        <family val="0"/>
        <charset val="1"/>
      </rPr>
      <t xml:space="preserve">URL</t>
    </r>
  </si>
  <si>
    <t xml:space="preserve">옵션설명</t>
  </si>
  <si>
    <t xml:space="preserve">옵션종류</t>
  </si>
  <si>
    <t xml:space="preserve">세트구성</t>
  </si>
  <si>
    <t xml:space="preserve">랜덤규칙</t>
  </si>
  <si>
    <t xml:space="preserve">수량구간최소</t>
  </si>
  <si>
    <t xml:space="preserve">수량구간최대</t>
  </si>
  <si>
    <t xml:space="preserve">MOQ</t>
  </si>
  <si>
    <t xml:space="preserve">통화</t>
  </si>
  <si>
    <t xml:space="preserve">표시가</t>
  </si>
  <si>
    <t xml:space="preserve">표시가상태</t>
  </si>
  <si>
    <t xml:space="preserve">실결제가</t>
  </si>
  <si>
    <t xml:space="preserve">실결제가상태</t>
  </si>
  <si>
    <t xml:space="preserve">배송포함범위</t>
  </si>
  <si>
    <t xml:space="preserve">중국내배송비</t>
  </si>
  <si>
    <t xml:space="preserve">중국내배송비상태</t>
  </si>
  <si>
    <t xml:space="preserve">판매자국제배송비</t>
  </si>
  <si>
    <t xml:space="preserve">판매자국제배송비상태</t>
  </si>
  <si>
    <t xml:space="preserve">리드타임일</t>
  </si>
  <si>
    <t xml:space="preserve">리드타임상태</t>
  </si>
  <si>
    <t xml:space="preserve">정품근거</t>
  </si>
  <si>
    <t xml:space="preserve">출처유형</t>
  </si>
  <si>
    <t xml:space="preserve">출처링크</t>
  </si>
  <si>
    <t xml:space="preserve">캡처파일명</t>
  </si>
  <si>
    <t xml:space="preserve">확인일</t>
  </si>
  <si>
    <t xml:space="preserve">재확인기한</t>
  </si>
  <si>
    <t xml:space="preserve">오퍼상태</t>
  </si>
  <si>
    <t xml:space="preserve">탈락사유</t>
  </si>
  <si>
    <t xml:space="preserve">O-001</t>
  </si>
  <si>
    <t xml:space="preserve">단품</t>
  </si>
  <si>
    <t xml:space="preserve">CNY</t>
  </si>
  <si>
    <t xml:space="preserve">url</t>
  </si>
  <si>
    <t xml:space="preserve">후보</t>
  </si>
  <si>
    <r>
      <rPr>
        <sz val="10"/>
        <rFont val="WenQuanYi Zen Hei"/>
        <family val="2"/>
      </rPr>
      <t xml:space="preserve">집계 페이지 표시값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캡처 없음</t>
    </r>
  </si>
  <si>
    <t xml:space="preserve">O-002</t>
  </si>
  <si>
    <t xml:space="preserve">https://tao.hooos.com/goods_aMN803wIotMYYy5vYvHQQeUjty-ejZ00KFz0kgjwXXc9.html</t>
  </si>
  <si>
    <t xml:space="preserve">랜덤 단품</t>
  </si>
  <si>
    <t xml:space="preserve">집계 페이지 표시값</t>
  </si>
  <si>
    <t xml:space="preserve">O-003</t>
  </si>
  <si>
    <r>
      <rPr>
        <sz val="10"/>
        <rFont val="Arial"/>
        <family val="0"/>
        <charset val="1"/>
      </rPr>
      <t xml:space="preserve">Tmall </t>
    </r>
    <r>
      <rPr>
        <sz val="10"/>
        <rFont val="WenQuanYi Zen Hei"/>
        <family val="2"/>
      </rPr>
      <t xml:space="preserve">후보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접근 어려움</t>
    </r>
  </si>
  <si>
    <t xml:space="preserve">O-004</t>
  </si>
  <si>
    <r>
      <rPr>
        <sz val="10"/>
        <rFont val="WenQuanYi Zen Hei"/>
        <family val="2"/>
      </rPr>
      <t xml:space="preserve">단품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세트 혼재</t>
    </r>
  </si>
  <si>
    <r>
      <rPr>
        <sz val="10"/>
        <rFont val="Arial"/>
        <family val="0"/>
        <charset val="1"/>
      </rPr>
      <t xml:space="preserve">730~2,350 TWD </t>
    </r>
    <r>
      <rPr>
        <sz val="10"/>
        <rFont val="WenQuanYi Zen Hei"/>
        <family val="2"/>
      </rPr>
      <t xml:space="preserve">범위에 세트 포함</t>
    </r>
  </si>
  <si>
    <t xml:space="preserve">TWD</t>
  </si>
  <si>
    <r>
      <rPr>
        <sz val="10"/>
        <rFont val="WenQuanYi Zen Hei"/>
        <family val="2"/>
      </rPr>
      <t xml:space="preserve">통화는 </t>
    </r>
    <r>
      <rPr>
        <sz val="10"/>
        <rFont val="Arial"/>
        <family val="0"/>
        <charset val="1"/>
      </rPr>
      <t xml:space="preserve">TWD</t>
    </r>
    <r>
      <rPr>
        <sz val="10"/>
        <rFont val="WenQuanYi Zen Hei"/>
        <family val="2"/>
      </rPr>
      <t xml:space="preserve">로 확인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단품 최저가로 기록</t>
    </r>
  </si>
  <si>
    <t xml:space="preserve">O-EX1</t>
  </si>
  <si>
    <t xml:space="preserve">https://example.invalid/item/1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</si>
  <si>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랜덤 단품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</si>
  <si>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개 구매 시 중복 없음</t>
    </r>
  </si>
  <si>
    <t xml:space="preserve">중국내</t>
  </si>
  <si>
    <t xml:space="preserve">판매자주장</t>
  </si>
  <si>
    <t xml:space="preserve">자체추정</t>
  </si>
  <si>
    <t xml:space="preserve">2026-10-01</t>
  </si>
  <si>
    <r>
      <rPr>
        <sz val="10"/>
        <rFont val="WenQuanYi Zen Hei"/>
        <family val="2"/>
      </rPr>
      <t xml:space="preserve">예시 행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값은 가상</t>
    </r>
  </si>
  <si>
    <r>
      <rPr>
        <b val="true"/>
        <sz val="10"/>
        <rFont val="WenQuanYi Zen Hei"/>
        <family val="2"/>
      </rPr>
      <t xml:space="preserve">시나리오</t>
    </r>
    <r>
      <rPr>
        <b val="true"/>
        <sz val="10"/>
        <rFont val="Arial"/>
        <family val="0"/>
        <charset val="1"/>
      </rPr>
      <t xml:space="preserve">ID</t>
    </r>
  </si>
  <si>
    <t xml:space="preserve">경로</t>
  </si>
  <si>
    <t xml:space="preserve">소포당개수</t>
  </si>
  <si>
    <t xml:space="preserve">소포당개수상태</t>
  </si>
  <si>
    <r>
      <rPr>
        <b val="true"/>
        <sz val="10"/>
        <rFont val="WenQuanYi Zen Hei"/>
        <family val="2"/>
      </rPr>
      <t xml:space="preserve">소포무게</t>
    </r>
    <r>
      <rPr>
        <b val="true"/>
        <sz val="10"/>
        <rFont val="Arial"/>
        <family val="0"/>
        <charset val="1"/>
      </rPr>
      <t xml:space="preserve">g</t>
    </r>
  </si>
  <si>
    <t xml:space="preserve">소포무게상태</t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</si>
  <si>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출발→도착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</si>
  <si>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서비스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</si>
  <si>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비용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</si>
  <si>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통화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</si>
  <si>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상태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</si>
  <si>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포함항목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</si>
  <si>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출발→도착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</si>
  <si>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서비스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</si>
  <si>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비용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</si>
  <si>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통화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</si>
  <si>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상태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</si>
  <si>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포함항목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</si>
  <si>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출발→도착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</si>
  <si>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서비스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</si>
  <si>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비용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</si>
  <si>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통화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</si>
  <si>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상태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</si>
  <si>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포함항목</t>
    </r>
  </si>
  <si>
    <t xml:space="preserve">통관방식</t>
  </si>
  <si>
    <r>
      <rPr>
        <b val="true"/>
        <sz val="10"/>
        <rFont val="WenQuanYi Zen Hei"/>
        <family val="2"/>
      </rPr>
      <t xml:space="preserve">관세</t>
    </r>
    <r>
      <rPr>
        <b val="true"/>
        <sz val="10"/>
        <rFont val="Arial"/>
        <family val="0"/>
        <charset val="1"/>
      </rPr>
      <t xml:space="preserve">(KRW </t>
    </r>
    <r>
      <rPr>
        <b val="true"/>
        <sz val="10"/>
        <rFont val="WenQuanYi Zen Hei"/>
        <family val="2"/>
      </rPr>
      <t xml:space="preserve">소포당</t>
    </r>
    <r>
      <rPr>
        <b val="true"/>
        <sz val="10"/>
        <rFont val="Arial"/>
        <family val="0"/>
        <charset val="1"/>
      </rPr>
      <t xml:space="preserve">)</t>
    </r>
  </si>
  <si>
    <t xml:space="preserve">관세상태</t>
  </si>
  <si>
    <r>
      <rPr>
        <b val="true"/>
        <sz val="10"/>
        <rFont val="WenQuanYi Zen Hei"/>
        <family val="2"/>
      </rPr>
      <t xml:space="preserve">부가세</t>
    </r>
    <r>
      <rPr>
        <b val="true"/>
        <sz val="10"/>
        <rFont val="Arial"/>
        <family val="0"/>
        <charset val="1"/>
      </rPr>
      <t xml:space="preserve">(KRW </t>
    </r>
    <r>
      <rPr>
        <b val="true"/>
        <sz val="10"/>
        <rFont val="WenQuanYi Zen Hei"/>
        <family val="2"/>
      </rPr>
      <t xml:space="preserve">소포당</t>
    </r>
    <r>
      <rPr>
        <b val="true"/>
        <sz val="10"/>
        <rFont val="Arial"/>
        <family val="0"/>
        <charset val="1"/>
      </rPr>
      <t xml:space="preserve">)</t>
    </r>
  </si>
  <si>
    <t xml:space="preserve">부가세상태</t>
  </si>
  <si>
    <t xml:space="preserve">예상총일수</t>
  </si>
  <si>
    <r>
      <rPr>
        <b val="true"/>
        <sz val="10"/>
        <rFont val="WenQuanYi Zen Hei"/>
        <family val="2"/>
      </rPr>
      <t xml:space="preserve">출처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캡처</t>
    </r>
  </si>
  <si>
    <t xml:space="preserve">SC-001</t>
  </si>
  <si>
    <t xml:space="preserve">이모션 직배송</t>
  </si>
  <si>
    <t xml:space="preserve">직배송</t>
  </si>
  <si>
    <t xml:space="preserve">판매자→한국고객</t>
  </si>
  <si>
    <t xml:space="preserve">판매자 국제배송</t>
  </si>
  <si>
    <t xml:space="preserve">판매자 한국 발송 가능 여부부터 확인</t>
  </si>
  <si>
    <t xml:space="preserve">SC-002</t>
  </si>
  <si>
    <t xml:space="preserve">이모션 배송대행</t>
  </si>
  <si>
    <t xml:space="preserve">배송대행</t>
  </si>
  <si>
    <t xml:space="preserve">판매자→대행창고</t>
  </si>
  <si>
    <t xml:space="preserve">판매자 중국내 배송</t>
  </si>
  <si>
    <t xml:space="preserve">대행창고→한국통관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</si>
  <si>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대행업체 미정</t>
    </r>
    <r>
      <rPr>
        <sz val="10"/>
        <rFont val="Arial"/>
        <family val="0"/>
        <charset val="1"/>
      </rPr>
      <t xml:space="preserve">)</t>
    </r>
  </si>
  <si>
    <t xml:space="preserve">국내택배 포함 여부 미확인</t>
  </si>
  <si>
    <t xml:space="preserve">한국통관→고객</t>
  </si>
  <si>
    <t xml:space="preserve">국내택배</t>
  </si>
  <si>
    <t xml:space="preserve">KRW</t>
  </si>
  <si>
    <r>
      <rPr>
        <sz val="10"/>
        <rFont val="WenQuanYi Zen Hei"/>
        <family val="2"/>
      </rPr>
      <t xml:space="preserve">소포당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개는 쏠띵즈 배송비 계단에서 추정</t>
    </r>
  </si>
  <si>
    <t xml:space="preserve">SC-EX1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</si>
  <si>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배송대행</t>
    </r>
  </si>
  <si>
    <t xml:space="preserve">판매자 무료배송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</si>
  <si>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대행업체 </t>
    </r>
    <r>
      <rPr>
        <sz val="10"/>
        <rFont val="Arial"/>
        <family val="0"/>
        <charset val="1"/>
      </rPr>
      <t xml:space="preserve">A 1kg </t>
    </r>
    <r>
      <rPr>
        <sz val="10"/>
        <rFont val="WenQuanYi Zen Hei"/>
        <family val="2"/>
      </rPr>
      <t xml:space="preserve">이하</t>
    </r>
  </si>
  <si>
    <r>
      <rPr>
        <sz val="10"/>
        <rFont val="WenQuanYi Zen Hei"/>
        <family val="2"/>
      </rPr>
      <t xml:space="preserve">국내택배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에 포함</t>
    </r>
    <r>
      <rPr>
        <sz val="10"/>
        <rFont val="Arial"/>
        <family val="0"/>
        <charset val="1"/>
      </rPr>
      <t xml:space="preserve">)</t>
    </r>
  </si>
  <si>
    <t xml:space="preserve">확인</t>
  </si>
  <si>
    <r>
      <rPr>
        <sz val="10"/>
        <rFont val="WenQuanYi Zen Hei"/>
        <family val="2"/>
      </rPr>
      <t xml:space="preserve">구간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견적에 포함되어 </t>
    </r>
    <r>
      <rPr>
        <sz val="10"/>
        <rFont val="Arial"/>
        <family val="0"/>
        <charset val="1"/>
      </rPr>
      <t xml:space="preserve">0</t>
    </r>
  </si>
  <si>
    <t xml:space="preserve">목록통관</t>
  </si>
  <si>
    <t xml:space="preserve">10~15</t>
  </si>
  <si>
    <t xml:space="preserve">예시</t>
  </si>
  <si>
    <r>
      <rPr>
        <b val="true"/>
        <sz val="10"/>
        <rFont val="WenQuanYi Zen Hei"/>
        <family val="2"/>
      </rPr>
      <t xml:space="preserve">계산</t>
    </r>
    <r>
      <rPr>
        <b val="true"/>
        <sz val="10"/>
        <rFont val="Arial"/>
        <family val="0"/>
        <charset val="1"/>
      </rPr>
      <t xml:space="preserve">ID</t>
    </r>
  </si>
  <si>
    <t xml:space="preserve">채널</t>
  </si>
  <si>
    <t xml:space="preserve">계산일</t>
  </si>
  <si>
    <r>
      <rPr>
        <b val="true"/>
        <sz val="10"/>
        <rFont val="WenQuanYi Zen Hei"/>
        <family val="2"/>
      </rPr>
      <t xml:space="preserve">환율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외화</t>
    </r>
    <r>
      <rPr>
        <b val="true"/>
        <sz val="10"/>
        <rFont val="Arial"/>
        <family val="0"/>
        <charset val="1"/>
      </rPr>
      <t xml:space="preserve">1→KRW)</t>
    </r>
  </si>
  <si>
    <t xml:space="preserve">환율날짜</t>
  </si>
  <si>
    <t xml:space="preserve">환율출처</t>
  </si>
  <si>
    <r>
      <rPr>
        <b val="true"/>
        <sz val="10"/>
        <rFont val="WenQuanYi Zen Hei"/>
        <family val="2"/>
      </rPr>
      <t xml:space="preserve">판매가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</si>
  <si>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청구배송비</t>
    </r>
    <r>
      <rPr>
        <b val="true"/>
        <sz val="10"/>
        <rFont val="Arial"/>
        <family val="0"/>
        <charset val="1"/>
      </rPr>
      <t xml:space="preserve">(KRW)</t>
    </r>
  </si>
  <si>
    <t xml:space="preserve">주문당개수</t>
  </si>
  <si>
    <t xml:space="preserve">채널판매수수료율</t>
  </si>
  <si>
    <t xml:space="preserve">결제수수료율</t>
  </si>
  <si>
    <t xml:space="preserve">수수료 배송비적용</t>
  </si>
  <si>
    <t xml:space="preserve">해외결제수수료율</t>
  </si>
  <si>
    <r>
      <rPr>
        <b val="true"/>
        <sz val="10"/>
        <rFont val="WenQuanYi Zen Hei"/>
        <family val="2"/>
      </rPr>
      <t xml:space="preserve">검수포장비</t>
    </r>
    <r>
      <rPr>
        <b val="true"/>
        <sz val="10"/>
        <rFont val="Arial"/>
        <family val="0"/>
        <charset val="1"/>
      </rPr>
      <t xml:space="preserve">(KRW </t>
    </r>
    <r>
      <rPr>
        <b val="true"/>
        <sz val="10"/>
        <rFont val="WenQuanYi Zen Hei"/>
        <family val="2"/>
      </rPr>
      <t xml:space="preserve">개당</t>
    </r>
    <r>
      <rPr>
        <b val="true"/>
        <sz val="10"/>
        <rFont val="Arial"/>
        <family val="0"/>
        <charset val="1"/>
      </rPr>
      <t xml:space="preserve">)</t>
    </r>
  </si>
  <si>
    <t xml:space="preserve">반품예비율</t>
  </si>
  <si>
    <r>
      <rPr>
        <b val="true"/>
        <sz val="10"/>
        <rFont val="WenQuanYi Zen Hei"/>
        <family val="2"/>
      </rPr>
      <t xml:space="preserve">광고비</t>
    </r>
    <r>
      <rPr>
        <b val="true"/>
        <sz val="10"/>
        <rFont val="Arial"/>
        <family val="0"/>
        <charset val="1"/>
      </rPr>
      <t xml:space="preserve">(KRW </t>
    </r>
    <r>
      <rPr>
        <b val="true"/>
        <sz val="10"/>
        <rFont val="WenQuanYi Zen Hei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</si>
  <si>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고정비</t>
    </r>
    <r>
      <rPr>
        <b val="true"/>
        <sz val="10"/>
        <rFont val="Arial"/>
        <family val="0"/>
        <charset val="1"/>
      </rPr>
      <t xml:space="preserve">(KRW </t>
    </r>
    <r>
      <rPr>
        <b val="true"/>
        <sz val="10"/>
        <rFont val="WenQuanYi Zen Hei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</t>
    </r>
  </si>
  <si>
    <t xml:space="preserve">예상월판매개수</t>
  </si>
  <si>
    <r>
      <rPr>
        <b val="true"/>
        <sz val="10"/>
        <rFont val="WenQuanYi Zen Hei"/>
        <family val="2"/>
      </rPr>
      <t xml:space="preserve">실결제가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외화</t>
    </r>
    <r>
      <rPr>
        <b val="true"/>
        <sz val="10"/>
        <rFont val="Arial"/>
        <family val="0"/>
        <charset val="1"/>
      </rPr>
      <t xml:space="preserve">)</t>
    </r>
  </si>
  <si>
    <t xml:space="preserve">오퍼통화</t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</si>
  <si>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</si>
  <si>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비용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</si>
  <si>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통화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</si>
  <si>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상태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</si>
  <si>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</si>
  <si>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비용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</si>
  <si>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통화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</si>
  <si>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상태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</si>
  <si>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</si>
  <si>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비용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</si>
  <si>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통화</t>
    </r>
  </si>
  <si>
    <r>
      <rPr>
        <b val="true"/>
        <sz val="10"/>
        <rFont val="WenQuanYi Zen Hei"/>
        <family val="2"/>
      </rPr>
      <t xml:space="preserve">구간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상태</t>
    </r>
  </si>
  <si>
    <r>
      <rPr>
        <b val="true"/>
        <sz val="10"/>
        <rFont val="WenQuanYi Zen Hei"/>
        <family val="2"/>
      </rPr>
      <t xml:space="preserve">관세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</si>
  <si>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부가세</t>
    </r>
    <r>
      <rPr>
        <b val="true"/>
        <sz val="10"/>
        <rFont val="Arial"/>
        <family val="0"/>
        <charset val="1"/>
      </rPr>
      <t xml:space="preserve">(KRW)</t>
    </r>
  </si>
  <si>
    <t xml:space="preserve">미확인개수</t>
  </si>
  <si>
    <t xml:space="preserve">추정개수</t>
  </si>
  <si>
    <t xml:space="preserve">결과상태</t>
  </si>
  <si>
    <r>
      <rPr>
        <b val="true"/>
        <sz val="10"/>
        <rFont val="WenQuanYi Zen Hei"/>
        <family val="2"/>
      </rPr>
      <t xml:space="preserve">개당매입원가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</si>
  <si>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개당운송원가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</si>
  <si>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개당착지원가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</si>
  <si>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개당수입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</si>
  <si>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개당채널비용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</si>
  <si>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개당공헌이익</t>
    </r>
    <r>
      <rPr>
        <b val="true"/>
        <sz val="10"/>
        <rFont val="Arial"/>
        <family val="0"/>
        <charset val="1"/>
      </rPr>
      <t xml:space="preserve">(KRW)</t>
    </r>
  </si>
  <si>
    <t xml:space="preserve">마진율</t>
  </si>
  <si>
    <r>
      <rPr>
        <b val="true"/>
        <sz val="10"/>
        <rFont val="WenQuanYi Zen Hei"/>
        <family val="2"/>
      </rPr>
      <t xml:space="preserve">개당순이익추정</t>
    </r>
    <r>
      <rPr>
        <b val="true"/>
        <sz val="10"/>
        <rFont val="Arial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</si>
  <si>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손익분기판매가</t>
    </r>
    <r>
      <rPr>
        <b val="true"/>
        <sz val="10"/>
        <rFont val="Arial"/>
        <family val="0"/>
        <charset val="1"/>
      </rPr>
      <t xml:space="preserve">(KRW)</t>
    </r>
  </si>
  <si>
    <t xml:space="preserve">CALC-001</t>
  </si>
  <si>
    <t xml:space="preserve">스마트스토어</t>
  </si>
  <si>
    <t xml:space="preserve">예</t>
  </si>
  <si>
    <r>
      <rPr>
        <sz val="10"/>
        <color rgb="FF0000FF"/>
        <rFont val="WenQuanYi Zen Hei"/>
        <family val="2"/>
      </rPr>
      <t xml:space="preserve">실제 조사 행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미확인이 많아 결과가 나오지 않는 것이 정상</t>
    </r>
  </si>
  <si>
    <t xml:space="preserve">CALC-002</t>
  </si>
  <si>
    <t xml:space="preserve">실제 조사 행</t>
  </si>
  <si>
    <t xml:space="preserve">CALC-EX1</t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</si>
  <si>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예시</t>
    </r>
    <r>
      <rPr>
        <sz val="10"/>
        <color rgb="FF0000FF"/>
        <rFont val="Arial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은행 고시</t>
    </r>
  </si>
  <si>
    <r>
      <rPr>
        <sz val="10"/>
        <color rgb="FF0000FF"/>
        <rFont val="WenQuanYi Zen Hei"/>
        <family val="2"/>
      </rPr>
      <t xml:space="preserve">예시 행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모든 값은 가상이며 형식만 보여 준다</t>
    </r>
  </si>
  <si>
    <r>
      <rPr>
        <b val="true"/>
        <sz val="10"/>
        <rFont val="WenQuanYi Zen Hei"/>
        <family val="2"/>
      </rPr>
      <t xml:space="preserve">관찰</t>
    </r>
    <r>
      <rPr>
        <b val="true"/>
        <sz val="10"/>
        <rFont val="Arial"/>
        <family val="0"/>
        <charset val="1"/>
      </rPr>
      <t xml:space="preserve">ID</t>
    </r>
  </si>
  <si>
    <t xml:space="preserve">경쟁사</t>
  </si>
  <si>
    <t xml:space="preserve">URL</t>
  </si>
  <si>
    <r>
      <rPr>
        <b val="true"/>
        <sz val="10"/>
        <rFont val="WenQuanYi Zen Hei"/>
        <family val="2"/>
      </rPr>
      <t xml:space="preserve">소비자가</t>
    </r>
    <r>
      <rPr>
        <b val="true"/>
        <sz val="10"/>
        <rFont val="Arial"/>
        <family val="0"/>
        <charset val="1"/>
      </rPr>
      <t xml:space="preserve">(KRW)</t>
    </r>
  </si>
  <si>
    <t xml:space="preserve">배송비규칙</t>
  </si>
  <si>
    <t xml:space="preserve">배송기간</t>
  </si>
  <si>
    <r>
      <rPr>
        <b val="true"/>
        <sz val="10"/>
        <rFont val="WenQuanYi Zen Hei"/>
        <family val="2"/>
      </rPr>
      <t xml:space="preserve">옵션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랜덤규칙</t>
    </r>
  </si>
  <si>
    <r>
      <rPr>
        <b val="true"/>
        <sz val="10"/>
        <rFont val="WenQuanYi Zen Hei"/>
        <family val="2"/>
      </rPr>
      <t xml:space="preserve">표기</t>
    </r>
    <r>
      <rPr>
        <b val="true"/>
        <sz val="10"/>
        <rFont val="Arial"/>
        <family val="0"/>
        <charset val="1"/>
      </rPr>
      <t xml:space="preserve">(KC/</t>
    </r>
    <r>
      <rPr>
        <b val="true"/>
        <sz val="10"/>
        <rFont val="WenQuanYi Zen Hei"/>
        <family val="2"/>
      </rPr>
      <t xml:space="preserve">원산지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수입자</t>
    </r>
    <r>
      <rPr>
        <b val="true"/>
        <sz val="10"/>
        <rFont val="Arial"/>
        <family val="0"/>
        <charset val="1"/>
      </rPr>
      <t xml:space="preserve">)</t>
    </r>
  </si>
  <si>
    <t xml:space="preserve">관찰일</t>
  </si>
  <si>
    <t xml:space="preserve">C-001</t>
  </si>
  <si>
    <t xml:space="preserve">쏠띵즈</t>
  </si>
  <si>
    <t xml:space="preserve">이모션 기분어때 핑구 랜덤인형 키링</t>
  </si>
  <si>
    <r>
      <rPr>
        <sz val="10"/>
        <rFont val="Arial"/>
        <family val="0"/>
        <charset val="1"/>
      </rPr>
      <t xml:space="preserve">1~4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5,900 / 5~8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11,800 / 9~12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17,700 / 13~16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23,600. </t>
    </r>
    <r>
      <rPr>
        <sz val="10"/>
        <rFont val="WenQuanYi Zen Hei"/>
        <family val="2"/>
      </rPr>
      <t xml:space="preserve">무료배송 없음</t>
    </r>
  </si>
  <si>
    <r>
      <rPr>
        <sz val="10"/>
        <rFont val="Arial"/>
        <family val="0"/>
        <charset val="1"/>
      </rPr>
      <t xml:space="preserve">7~21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입금 확인 후</t>
    </r>
  </si>
  <si>
    <r>
      <rPr>
        <sz val="10"/>
        <rFont val="WenQuanYi Zen Hei"/>
        <family val="2"/>
      </rPr>
      <t xml:space="preserve">랜덤박스 </t>
    </r>
    <r>
      <rPr>
        <sz val="10"/>
        <rFont val="Arial"/>
        <family val="0"/>
        <charset val="1"/>
      </rPr>
      <t xml:space="preserve">1P, 4</t>
    </r>
    <r>
      <rPr>
        <sz val="10"/>
        <rFont val="WenQuanYi Zen Hei"/>
        <family val="2"/>
      </rPr>
      <t xml:space="preserve">개 구매 시 중복 없음</t>
    </r>
  </si>
  <si>
    <r>
      <rPr>
        <sz val="10"/>
        <rFont val="Arial"/>
        <family val="0"/>
        <charset val="1"/>
      </rPr>
      <t xml:space="preserve">KC·</t>
    </r>
    <r>
      <rPr>
        <sz val="10"/>
        <rFont val="WenQuanYi Zen Hei"/>
        <family val="2"/>
      </rPr>
      <t xml:space="preserve">원산지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수입자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정품 문구 없음</t>
    </r>
  </si>
  <si>
    <r>
      <rPr>
        <sz val="10"/>
        <rFont val="WenQuanYi Zen Hei"/>
        <family val="2"/>
      </rPr>
      <t xml:space="preserve">해외배송 가능상품 표기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반품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반송비 고객 부담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통관 주체 미확인</t>
    </r>
  </si>
  <si>
    <t xml:space="preserve">C-002</t>
  </si>
  <si>
    <t xml:space="preserve">https://solethings.co.kr/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</si>
  <si>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매장 정보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</si>
  <si>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카페</t>
    </r>
    <r>
      <rPr>
        <sz val="10"/>
        <rFont val="Arial"/>
        <family val="0"/>
        <charset val="1"/>
      </rPr>
      <t xml:space="preserve">24. </t>
    </r>
    <r>
      <rPr>
        <sz val="10"/>
        <rFont val="WenQuanYi Zen Hei"/>
        <family val="2"/>
      </rPr>
      <t xml:space="preserve">통신판매업 </t>
    </r>
    <r>
      <rPr>
        <sz val="10"/>
        <rFont val="Arial"/>
        <family val="0"/>
        <charset val="1"/>
      </rPr>
      <t xml:space="preserve">2023-</t>
    </r>
    <r>
      <rPr>
        <sz val="10"/>
        <rFont val="WenQuanYi Zen Hei"/>
        <family val="2"/>
      </rPr>
      <t xml:space="preserve">서울마포</t>
    </r>
    <r>
      <rPr>
        <sz val="10"/>
        <rFont val="Arial"/>
        <family val="0"/>
        <charset val="1"/>
      </rPr>
      <t xml:space="preserve">-3037. </t>
    </r>
    <r>
      <rPr>
        <sz val="10"/>
        <rFont val="WenQuanYi Zen Hei"/>
        <family val="2"/>
      </rPr>
      <t xml:space="preserve">정품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라이선스 문구 없음</t>
    </r>
  </si>
  <si>
    <t xml:space="preserve">C-003</t>
  </si>
  <si>
    <r>
      <rPr>
        <sz val="10"/>
        <rFont val="WenQuanYi Zen Hei"/>
        <family val="2"/>
      </rPr>
      <t xml:space="preserve">조사일 미상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재확인 필요</t>
    </r>
  </si>
  <si>
    <t xml:space="preserve">C-004</t>
  </si>
  <si>
    <t xml:space="preserve">C-005</t>
  </si>
  <si>
    <r>
      <rPr>
        <b val="true"/>
        <sz val="10"/>
        <rFont val="WenQuanYi Zen Hei"/>
        <family val="2"/>
      </rPr>
      <t xml:space="preserve">프로필</t>
    </r>
    <r>
      <rPr>
        <b val="true"/>
        <sz val="10"/>
        <rFont val="Arial"/>
        <family val="0"/>
        <charset val="1"/>
      </rPr>
      <t xml:space="preserve">ID</t>
    </r>
  </si>
  <si>
    <t xml:space="preserve">항목키</t>
  </si>
  <si>
    <t xml:space="preserve">질문</t>
  </si>
  <si>
    <t xml:space="preserve">답변</t>
  </si>
  <si>
    <t xml:space="preserve">항목결과</t>
  </si>
  <si>
    <t xml:space="preserve">조건</t>
  </si>
  <si>
    <t xml:space="preserve">위험도</t>
  </si>
  <si>
    <t xml:space="preserve">children_product</t>
  </si>
  <si>
    <r>
      <rPr>
        <sz val="10"/>
        <rFont val="WenQuanYi Zen Hei"/>
        <family val="2"/>
      </rPr>
      <t xml:space="preserve">이 카테고리가 어린이제품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만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세 이하 사용 목적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해당하는가</t>
    </r>
  </si>
  <si>
    <r>
      <rPr>
        <sz val="10"/>
        <rFont val="WenQuanYi Zen Hei"/>
        <family val="2"/>
      </rPr>
      <t xml:space="preserve">미판정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캐릭터 인형은 해당 판정 가능성 높음</t>
    </r>
  </si>
  <si>
    <t xml:space="preserve">높음</t>
  </si>
  <si>
    <r>
      <rPr>
        <sz val="10"/>
        <rFont val="WenQuanYi Zen Hei"/>
        <family val="2"/>
      </rPr>
      <t xml:space="preserve">어린이제품 안전 특별법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확인 경로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국가기술표준원</t>
    </r>
    <r>
      <rPr>
        <sz val="10"/>
        <rFont val="Arial"/>
        <family val="0"/>
        <charset val="1"/>
      </rPr>
      <t xml:space="preserve">·1381 </t>
    </r>
    <r>
      <rPr>
        <sz val="10"/>
        <rFont val="WenQuanYi Zen Hei"/>
        <family val="2"/>
      </rPr>
      <t xml:space="preserve">질의</t>
    </r>
  </si>
  <si>
    <t xml:space="preserve">kc</t>
  </si>
  <si>
    <r>
      <rPr>
        <sz val="10"/>
        <rFont val="Arial"/>
        <family val="0"/>
        <charset val="1"/>
      </rPr>
      <t xml:space="preserve">KC </t>
    </r>
    <r>
      <rPr>
        <sz val="10"/>
        <rFont val="WenQuanYi Zen Hei"/>
        <family val="2"/>
      </rPr>
      <t xml:space="preserve">안전확인 표시가 있는 제품인가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내가 받을 수 있는가</t>
    </r>
  </si>
  <si>
    <r>
      <rPr>
        <sz val="10"/>
        <rFont val="WenQuanYi Zen Hei"/>
        <family val="2"/>
      </rPr>
      <t xml:space="preserve">규칙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어린이제품이면 완구 안전확인 대상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구매대행도 표시 없는 제품 대행 금지</t>
    </r>
  </si>
  <si>
    <r>
      <rPr>
        <sz val="10"/>
        <rFont val="WenQuanYi Zen Hei"/>
        <family val="2"/>
      </rPr>
      <t xml:space="preserve">어린이제품 안전 특별법 제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조 등</t>
    </r>
    <r>
      <rPr>
        <sz val="10"/>
        <rFont val="Arial"/>
        <family val="0"/>
        <charset val="1"/>
      </rPr>
      <t xml:space="preserve">, 1381 </t>
    </r>
    <r>
      <rPr>
        <sz val="10"/>
        <rFont val="WenQuanYi Zen Hei"/>
        <family val="2"/>
      </rPr>
      <t xml:space="preserve">안내 </t>
    </r>
    <r>
      <rPr>
        <sz val="10"/>
        <rFont val="Arial"/>
        <family val="0"/>
        <charset val="1"/>
      </rPr>
      <t xml:space="preserve">(2026-09-16)</t>
    </r>
  </si>
  <si>
    <t xml:space="preserve">2027-03-15</t>
  </si>
  <si>
    <t xml:space="preserve">trademark_license</t>
  </si>
  <si>
    <r>
      <rPr>
        <sz val="10"/>
        <rFont val="WenQuanYi Zen Hei"/>
        <family val="2"/>
      </rPr>
      <t xml:space="preserve">권리자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국내 라이선시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판매자 정품 근거</t>
    </r>
  </si>
  <si>
    <r>
      <rPr>
        <sz val="10"/>
        <rFont val="WenQuanYi Zen Hei"/>
        <family val="2"/>
      </rPr>
      <t xml:space="preserve">권리자 </t>
    </r>
    <r>
      <rPr>
        <sz val="10"/>
        <rFont val="Arial"/>
        <family val="0"/>
        <charset val="1"/>
      </rPr>
      <t xml:space="preserve">Mattel. </t>
    </r>
    <r>
      <rPr>
        <sz val="10"/>
        <rFont val="WenQuanYi Zen Hei"/>
        <family val="2"/>
      </rPr>
      <t xml:space="preserve">중국 브랜드 라이선스 여부 미상</t>
    </r>
  </si>
  <si>
    <r>
      <rPr>
        <sz val="10"/>
        <rFont val="Arial"/>
        <family val="0"/>
        <charset val="1"/>
      </rPr>
      <t xml:space="preserve">Mattel </t>
    </r>
    <r>
      <rPr>
        <sz val="10"/>
        <rFont val="WenQuanYi Zen Hei"/>
        <family val="2"/>
      </rPr>
      <t xml:space="preserve">브랜드 포트폴리오</t>
    </r>
    <r>
      <rPr>
        <sz val="10"/>
        <rFont val="Arial"/>
        <family val="0"/>
        <charset val="1"/>
      </rPr>
      <t xml:space="preserve">; KIPRIS </t>
    </r>
    <r>
      <rPr>
        <sz val="10"/>
        <rFont val="WenQuanYi Zen Hei"/>
        <family val="2"/>
      </rPr>
      <t xml:space="preserve">조회 필요</t>
    </r>
  </si>
  <si>
    <t xml:space="preserve">parallel_import</t>
  </si>
  <si>
    <t xml:space="preserve">진정상품 병행수입 요건 충족 가능성</t>
  </si>
  <si>
    <r>
      <rPr>
        <sz val="10"/>
        <rFont val="WenQuanYi Zen Hei"/>
        <family val="2"/>
      </rPr>
      <t xml:space="preserve">규칙 확인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국내 전용사용권자 관계 미확인</t>
    </r>
  </si>
  <si>
    <t xml:space="preserve">중간</t>
  </si>
  <si>
    <r>
      <rPr>
        <sz val="10"/>
        <rFont val="WenQuanYi Zen Hei"/>
        <family val="2"/>
      </rPr>
      <t xml:space="preserve">대법원 판례 요지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법률 안내</t>
    </r>
  </si>
  <si>
    <t xml:space="preserve">copyright_import</t>
  </si>
  <si>
    <r>
      <rPr>
        <sz val="10"/>
        <rFont val="WenQuanYi Zen Hei"/>
        <family val="2"/>
      </rPr>
      <t xml:space="preserve">저작권법 제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침해로 보는 수입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해당하는가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국내 저작권자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라이선시 허락 없는 수입</t>
    </r>
  </si>
  <si>
    <r>
      <rPr>
        <sz val="10"/>
        <rFont val="WenQuanYi Zen Hei"/>
        <family val="2"/>
      </rPr>
      <t xml:space="preserve">변리사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변호사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한국저작권위원회</t>
    </r>
  </si>
  <si>
    <t xml:space="preserve">design_right</t>
  </si>
  <si>
    <t xml:space="preserve">국내 등록 디자인과 유사한 형상인가</t>
  </si>
  <si>
    <r>
      <rPr>
        <sz val="10"/>
        <rFont val="Arial"/>
        <family val="0"/>
        <charset val="1"/>
      </rPr>
      <t xml:space="preserve">KIPRIS </t>
    </r>
    <r>
      <rPr>
        <sz val="10"/>
        <rFont val="WenQuanYi Zen Hei"/>
        <family val="2"/>
      </rPr>
      <t xml:space="preserve">디자인 검색</t>
    </r>
  </si>
  <si>
    <t xml:space="preserve">customs_ip_watch</t>
  </si>
  <si>
    <r>
      <rPr>
        <sz val="10"/>
        <rFont val="WenQuanYi Zen Hei"/>
        <family val="2"/>
      </rPr>
      <t xml:space="preserve">권리자가 세관에 지재권 신고를 해 두었는가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통관보류 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</si>
  <si>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관세청 지재권 신고 조회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관세사</t>
    </r>
  </si>
  <si>
    <t xml:space="preserve">platform_ip_report</t>
  </si>
  <si>
    <t xml:space="preserve">채널 지재권 신고 시 정품 소명 자료를 낼 수 있는가</t>
  </si>
  <si>
    <t xml:space="preserve">네이버 지식재산권보호센터</t>
  </si>
  <si>
    <t xml:space="preserve">listing_assets</t>
  </si>
  <si>
    <r>
      <rPr>
        <sz val="10"/>
        <rFont val="WenQuanYi Zen Hei"/>
        <family val="2"/>
      </rPr>
      <t xml:space="preserve">상세페이지 이미지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문구 사용권이 있는가</t>
    </r>
  </si>
  <si>
    <t xml:space="preserve">직접 촬영 예정</t>
  </si>
  <si>
    <t xml:space="preserve">조건부</t>
  </si>
  <si>
    <r>
      <rPr>
        <sz val="10"/>
        <rFont val="WenQuanYi Zen Hei"/>
        <family val="2"/>
      </rPr>
      <t xml:space="preserve">판매자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공식 이미지 무단 사용 금지</t>
    </r>
  </si>
  <si>
    <t xml:space="preserve">자체</t>
  </si>
  <si>
    <t xml:space="preserve">customs</t>
  </si>
  <si>
    <r>
      <rPr>
        <sz val="10"/>
        <rFont val="WenQuanYi Zen Hei"/>
        <family val="2"/>
      </rPr>
      <t xml:space="preserve">통관 방식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세율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목록통관 가능 여부</t>
    </r>
  </si>
  <si>
    <r>
      <rPr>
        <sz val="10"/>
        <rFont val="WenQuanYi Zen Hei"/>
        <family val="2"/>
      </rPr>
      <t xml:space="preserve">관세청 고객지원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관세사</t>
    </r>
  </si>
  <si>
    <t xml:space="preserve">labeling</t>
  </si>
  <si>
    <r>
      <rPr>
        <sz val="10"/>
        <rFont val="WenQuanYi Zen Hei"/>
        <family val="2"/>
      </rPr>
      <t xml:space="preserve">원산지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구매대행 고지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랜덤 고지 등 표시 의무</t>
    </r>
  </si>
  <si>
    <r>
      <rPr>
        <sz val="10"/>
        <rFont val="WenQuanYi Zen Hei"/>
        <family val="2"/>
      </rPr>
      <t xml:space="preserve">구매대행 시 구매대행 표시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개인통관고유부호 안내 필요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규칙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</si>
  <si>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전자상거래법 안내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채널 정책</t>
    </r>
  </si>
  <si>
    <t xml:space="preserve">channel_policy</t>
  </si>
  <si>
    <r>
      <rPr>
        <sz val="10"/>
        <rFont val="WenQuanYi Zen Hei"/>
        <family val="2"/>
      </rPr>
      <t xml:space="preserve">채널이 이 카테고리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모델을 허용하는가</t>
    </r>
  </si>
  <si>
    <t xml:space="preserve">낮음</t>
  </si>
  <si>
    <t xml:space="preserve">채널 판매자 센터</t>
  </si>
  <si>
    <t xml:space="preserve">return_policy</t>
  </si>
  <si>
    <r>
      <rPr>
        <sz val="10"/>
        <rFont val="WenQuanYi Zen Hei"/>
        <family val="2"/>
      </rPr>
      <t xml:space="preserve">청약철회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반품 처리 가능성과 비용</t>
    </r>
  </si>
  <si>
    <r>
      <rPr>
        <sz val="10"/>
        <rFont val="WenQuanYi Zen Hei"/>
        <family val="2"/>
      </rPr>
      <t xml:space="preserve">청약철회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규칙 확인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해외 반송 비용 미확인</t>
    </r>
  </si>
  <si>
    <t xml:space="preserve">전자상거래법</t>
  </si>
  <si>
    <t xml:space="preserve">코드</t>
  </si>
  <si>
    <t xml:space="preserve">제목</t>
  </si>
  <si>
    <t xml:space="preserve">맥락</t>
  </si>
  <si>
    <t xml:space="preserve">결정</t>
  </si>
  <si>
    <t xml:space="preserve">이유</t>
  </si>
  <si>
    <t xml:space="preserve">대안</t>
  </si>
  <si>
    <r>
      <rPr>
        <b val="true"/>
        <sz val="10"/>
        <rFont val="WenQuanYi Zen Hei"/>
        <family val="2"/>
      </rPr>
      <t xml:space="preserve">결과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영향</t>
    </r>
  </si>
  <si>
    <t xml:space="preserve">결정일</t>
  </si>
  <si>
    <t xml:space="preserve">재검토조건</t>
  </si>
  <si>
    <t xml:space="preserve">D-01</t>
  </si>
  <si>
    <t xml:space="preserve">사업 모델</t>
  </si>
  <si>
    <r>
      <rPr>
        <sz val="10"/>
        <rFont val="WenQuanYi Zen Hei"/>
        <family val="2"/>
      </rPr>
      <t xml:space="preserve">구매대행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수입판매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혼합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국내 정식 도매 중 선택</t>
    </r>
    <r>
      <rPr>
        <sz val="10"/>
        <rFont val="Arial"/>
        <family val="0"/>
        <charset val="1"/>
      </rPr>
      <t xml:space="preserve">. KC·</t>
    </r>
    <r>
      <rPr>
        <sz val="10"/>
        <rFont val="WenQuanYi Zen Hei"/>
        <family val="2"/>
      </rPr>
      <t xml:space="preserve">세무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합포장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반품이 달라짐</t>
    </r>
  </si>
  <si>
    <r>
      <rPr>
        <sz val="10"/>
        <rFont val="WenQuanYi Zen Hei"/>
        <family val="2"/>
      </rPr>
      <t xml:space="preserve">구매대행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수입판매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혼합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국내 정식 도매</t>
    </r>
  </si>
  <si>
    <r>
      <rPr>
        <sz val="10"/>
        <rFont val="WenQuanYi Zen Hei"/>
        <family val="2"/>
      </rPr>
      <t xml:space="preserve">필수 필드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계산식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증빙 규칙</t>
    </r>
  </si>
  <si>
    <t xml:space="preserve">제안</t>
  </si>
  <si>
    <t xml:space="preserve">게이트 조사 결과</t>
  </si>
  <si>
    <t xml:space="preserve">D-02</t>
  </si>
  <si>
    <r>
      <rPr>
        <sz val="10"/>
        <rFont val="WenQuanYi Zen Hei"/>
        <family val="2"/>
      </rPr>
      <t xml:space="preserve">핑구 인형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키링 진행 여부</t>
    </r>
  </si>
  <si>
    <r>
      <rPr>
        <sz val="10"/>
        <rFont val="Arial"/>
        <family val="0"/>
        <charset val="1"/>
      </rPr>
      <t xml:space="preserve">G-01 </t>
    </r>
    <r>
      <rPr>
        <sz val="10"/>
        <rFont val="WenQuanYi Zen Hei"/>
        <family val="2"/>
      </rPr>
      <t xml:space="preserve">게이트 결과에 따라</t>
    </r>
  </si>
  <si>
    <r>
      <rPr>
        <sz val="10"/>
        <rFont val="WenQuanYi Zen Hei"/>
        <family val="2"/>
      </rPr>
      <t xml:space="preserve">진행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수입판매 전환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다른 캐릭터</t>
    </r>
  </si>
  <si>
    <r>
      <rPr>
        <sz val="10"/>
        <rFont val="WenQuanYi Zen Hei"/>
        <family val="2"/>
      </rPr>
      <t xml:space="preserve">상품 파이프라인 계속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중단</t>
    </r>
  </si>
  <si>
    <r>
      <rPr>
        <sz val="10"/>
        <rFont val="Arial"/>
        <family val="0"/>
        <charset val="1"/>
      </rPr>
      <t xml:space="preserve">G-01 </t>
    </r>
    <r>
      <rPr>
        <sz val="10"/>
        <rFont val="WenQuanYi Zen Hei"/>
        <family val="2"/>
      </rPr>
      <t xml:space="preserve">결과</t>
    </r>
  </si>
  <si>
    <t xml:space="preserve">D-03</t>
  </si>
  <si>
    <t xml:space="preserve">첫 판매 채널</t>
  </si>
  <si>
    <r>
      <rPr>
        <sz val="10"/>
        <rFont val="WenQuanYi Zen Hei"/>
        <family val="2"/>
      </rPr>
      <t xml:space="preserve">스마트스토어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카페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자사몰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쿠팡</t>
    </r>
  </si>
  <si>
    <r>
      <rPr>
        <sz val="10"/>
        <rFont val="WenQuanYi Zen Hei"/>
        <family val="2"/>
      </rPr>
      <t xml:space="preserve">스마트스토어 먼저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자사몰은 </t>
    </r>
    <r>
      <rPr>
        <sz val="10"/>
        <rFont val="Arial"/>
        <family val="0"/>
        <charset val="1"/>
      </rPr>
      <t xml:space="preserve">M5 </t>
    </r>
    <r>
      <rPr>
        <sz val="10"/>
        <rFont val="WenQuanYi Zen Hei"/>
        <family val="2"/>
      </rPr>
      <t xml:space="preserve">이후</t>
    </r>
  </si>
  <si>
    <r>
      <rPr>
        <sz val="10"/>
        <rFont val="WenQuanYi Zen Hei"/>
        <family val="2"/>
      </rPr>
      <t xml:space="preserve">유입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정산 내장</t>
    </r>
    <r>
      <rPr>
        <sz val="10"/>
        <rFont val="Arial"/>
        <family val="0"/>
        <charset val="1"/>
      </rPr>
      <t xml:space="preserve">, API </t>
    </r>
    <r>
      <rPr>
        <sz val="10"/>
        <rFont val="WenQuanYi Zen Hei"/>
        <family val="2"/>
      </rPr>
      <t xml:space="preserve">개방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자사몰은 유입을 직접 만들어야 하고 </t>
    </r>
    <r>
      <rPr>
        <sz val="10"/>
        <rFont val="Arial"/>
        <family val="0"/>
        <charset val="1"/>
      </rPr>
      <t xml:space="preserve">PG </t>
    </r>
    <r>
      <rPr>
        <sz val="10"/>
        <rFont val="WenQuanYi Zen Hei"/>
        <family val="2"/>
      </rPr>
      <t xml:space="preserve">계약 필요</t>
    </r>
  </si>
  <si>
    <r>
      <rPr>
        <sz val="10"/>
        <rFont val="WenQuanYi Zen Hei"/>
        <family val="2"/>
      </rPr>
      <t xml:space="preserve">카페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자사몰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쏠띵즈 모델</t>
    </r>
    <r>
      <rPr>
        <sz val="10"/>
        <rFont val="Arial"/>
        <family val="0"/>
        <charset val="1"/>
      </rPr>
      <t xml:space="preserve">); </t>
    </r>
    <r>
      <rPr>
        <sz val="10"/>
        <rFont val="WenQuanYi Zen Hei"/>
        <family val="2"/>
      </rPr>
      <t xml:space="preserve">쿠팡</t>
    </r>
  </si>
  <si>
    <r>
      <rPr>
        <sz val="10"/>
        <rFont val="WenQuanYi Zen Hei"/>
        <family val="2"/>
      </rPr>
      <t xml:space="preserve">채널 수수료 모델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연동 방식</t>
    </r>
  </si>
  <si>
    <t xml:space="preserve">채택</t>
  </si>
  <si>
    <r>
      <rPr>
        <sz val="10"/>
        <rFont val="WenQuanYi Zen Hei"/>
        <family val="2"/>
      </rPr>
      <t xml:space="preserve">월 주문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건 초과 또는 브랜드 팔로워 확보 시 자사몰 검토</t>
    </r>
  </si>
  <si>
    <t xml:space="preserve">D-04</t>
  </si>
  <si>
    <t xml:space="preserve">물류 경로 기본값</t>
  </si>
  <si>
    <r>
      <rPr>
        <sz val="10"/>
        <rFont val="WenQuanYi Zen Hei"/>
        <family val="2"/>
      </rPr>
      <t xml:space="preserve">직배송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배송대행</t>
    </r>
  </si>
  <si>
    <r>
      <rPr>
        <sz val="10"/>
        <rFont val="WenQuanYi Zen Hei"/>
        <family val="2"/>
      </rPr>
      <t xml:space="preserve">직배송 기본값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배송대행은 항상 비교 시나리오로 병기</t>
    </r>
  </si>
  <si>
    <r>
      <rPr>
        <sz val="10"/>
        <rFont val="WenQuanYi Zen Hei"/>
        <family val="2"/>
      </rPr>
      <t xml:space="preserve">사용자 선호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 국제 구간 요금은 어느 경로든 한 번이며 어느 쪽이 싼지는 견적으로만 안다</t>
    </r>
  </si>
  <si>
    <t xml:space="preserve">배송대행 기본값</t>
  </si>
  <si>
    <r>
      <rPr>
        <sz val="10"/>
        <rFont val="WenQuanYi Zen Hei"/>
        <family val="2"/>
      </rPr>
      <t xml:space="preserve">기본 시나리오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대행업체 요율표</t>
    </r>
  </si>
  <si>
    <t xml:space="preserve">판매자 한국 발송 불가가 잦거나 대행 견적이 더 싸면</t>
  </si>
  <si>
    <t xml:space="preserve">D-05</t>
  </si>
  <si>
    <t xml:space="preserve">기술 스택</t>
  </si>
  <si>
    <t xml:space="preserve">기존 골격 없음</t>
  </si>
  <si>
    <t xml:space="preserve">Cloudflare Workers + D1 + R2 + Cron + Access, Hono, Drizzle, React/Vite</t>
  </si>
  <si>
    <r>
      <rPr>
        <sz val="10"/>
        <rFont val="WenQuanYi Zen Hei"/>
        <family val="2"/>
      </rPr>
      <t xml:space="preserve">사용자 </t>
    </r>
    <r>
      <rPr>
        <sz val="10"/>
        <rFont val="Arial"/>
        <family val="0"/>
        <charset val="1"/>
      </rPr>
      <t xml:space="preserve">Cloudflare </t>
    </r>
    <r>
      <rPr>
        <sz val="10"/>
        <rFont val="WenQuanYi Zen Hei"/>
        <family val="2"/>
      </rPr>
      <t xml:space="preserve">계정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서버 관리 없음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단일 사용자 규모</t>
    </r>
  </si>
  <si>
    <r>
      <rPr>
        <sz val="10"/>
        <rFont val="Arial"/>
        <family val="0"/>
        <charset val="1"/>
      </rPr>
      <t xml:space="preserve">Pages Functions; </t>
    </r>
    <r>
      <rPr>
        <sz val="10"/>
        <rFont val="WenQuanYi Zen Hei"/>
        <family val="2"/>
      </rPr>
      <t xml:space="preserve">외부 </t>
    </r>
    <r>
      <rPr>
        <sz val="10"/>
        <rFont val="Arial"/>
        <family val="0"/>
        <charset val="1"/>
      </rPr>
      <t xml:space="preserve">DB; Next.js</t>
    </r>
  </si>
  <si>
    <t xml:space="preserve">ARCHITECTURE.md</t>
  </si>
  <si>
    <r>
      <rPr>
        <sz val="10"/>
        <rFont val="Arial"/>
        <family val="0"/>
        <charset val="1"/>
      </rPr>
      <t xml:space="preserve">D1 </t>
    </r>
    <r>
      <rPr>
        <sz val="10"/>
        <rFont val="WenQuanYi Zen Hei"/>
        <family val="2"/>
      </rPr>
      <t xml:space="preserve">한계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용량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동시성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닿으면</t>
    </r>
  </si>
  <si>
    <t xml:space="preserve">D-06</t>
  </si>
  <si>
    <r>
      <rPr>
        <sz val="10"/>
        <rFont val="WenQuanYi Zen Hei"/>
        <family val="2"/>
      </rPr>
      <t xml:space="preserve">청구 배송비 정책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개인정보 보관 기간</t>
    </r>
  </si>
  <si>
    <r>
      <rPr>
        <sz val="10"/>
        <rFont val="WenQuanYi Zen Hei"/>
        <family val="2"/>
      </rPr>
      <t xml:space="preserve">실비 전가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정액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무료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가격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</si>
  <si>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수입 항목 계산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삭제 </t>
    </r>
    <r>
      <rPr>
        <sz val="10"/>
        <rFont val="Arial"/>
        <family val="0"/>
        <charset val="1"/>
      </rPr>
      <t xml:space="preserve">Job</t>
    </r>
  </si>
  <si>
    <r>
      <rPr>
        <sz val="10"/>
        <rFont val="Arial"/>
        <family val="0"/>
        <charset val="1"/>
      </rPr>
      <t xml:space="preserve">M2 </t>
    </r>
    <r>
      <rPr>
        <sz val="10"/>
        <rFont val="WenQuanYi Zen Hei"/>
        <family val="2"/>
      </rPr>
      <t xml:space="preserve">전</t>
    </r>
  </si>
  <si>
    <r>
      <rPr>
        <b val="true"/>
        <sz val="10"/>
        <rFont val="WenQuanYi Zen Hei"/>
        <family val="2"/>
      </rPr>
      <t xml:space="preserve">작업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</si>
  <si>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WenQuanYi Zen Hei"/>
        <family val="2"/>
      </rPr>
      <t xml:space="preserve">관련</t>
    </r>
    <r>
      <rPr>
        <b val="true"/>
        <sz val="10"/>
        <rFont val="Arial"/>
        <family val="0"/>
        <charset val="1"/>
      </rPr>
      <t xml:space="preserve">ID</t>
    </r>
  </si>
  <si>
    <t xml:space="preserve">우선순위</t>
  </si>
  <si>
    <t xml:space="preserve">기한</t>
  </si>
  <si>
    <t xml:space="preserve">막힘사유</t>
  </si>
  <si>
    <t xml:space="preserve">해제조건</t>
  </si>
  <si>
    <t xml:space="preserve">재확인일</t>
  </si>
  <si>
    <t xml:space="preserve">T-001</t>
  </si>
  <si>
    <r>
      <rPr>
        <sz val="10"/>
        <rFont val="Arial"/>
        <family val="0"/>
        <charset val="1"/>
      </rPr>
      <t xml:space="preserve">D-01 </t>
    </r>
    <r>
      <rPr>
        <sz val="10"/>
        <rFont val="WenQuanYi Zen Hei"/>
        <family val="2"/>
      </rPr>
      <t xml:space="preserve">사업 모델 결정</t>
    </r>
  </si>
  <si>
    <t xml:space="preserve">1</t>
  </si>
  <si>
    <t xml:space="preserve">막힘</t>
  </si>
  <si>
    <t xml:space="preserve">사용자 결정 대기</t>
  </si>
  <si>
    <t xml:space="preserve">사용자가 모델을 고르면</t>
  </si>
  <si>
    <t xml:space="preserve">2026-09-23</t>
  </si>
  <si>
    <t xml:space="preserve">T-002</t>
  </si>
  <si>
    <r>
      <rPr>
        <sz val="10"/>
        <rFont val="Arial"/>
        <family val="0"/>
        <charset val="1"/>
      </rPr>
      <t xml:space="preserve">R-001/R-002 children_product·kc </t>
    </r>
    <r>
      <rPr>
        <sz val="10"/>
        <rFont val="WenQuanYi Zen Hei"/>
        <family val="2"/>
      </rPr>
      <t xml:space="preserve">판정</t>
    </r>
    <r>
      <rPr>
        <sz val="10"/>
        <rFont val="Arial"/>
        <family val="0"/>
        <charset val="1"/>
      </rPr>
      <t xml:space="preserve">: 1381 </t>
    </r>
    <r>
      <rPr>
        <sz val="10"/>
        <rFont val="WenQuanYi Zen Hei"/>
        <family val="2"/>
      </rPr>
      <t xml:space="preserve">또는 국표원 질의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회신 첨부</t>
    </r>
  </si>
  <si>
    <t xml:space="preserve">기관 회신 대기</t>
  </si>
  <si>
    <t xml:space="preserve">회신 도착</t>
  </si>
  <si>
    <t xml:space="preserve">2026-09-30</t>
  </si>
  <si>
    <t xml:space="preserve">T-003</t>
  </si>
  <si>
    <r>
      <rPr>
        <sz val="10"/>
        <rFont val="Arial"/>
        <family val="0"/>
        <charset val="1"/>
      </rPr>
      <t xml:space="preserve">trademark_license: KIPRIS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Pingu </t>
    </r>
    <r>
      <rPr>
        <sz val="10"/>
        <rFont val="WenQuanYi Zen Hei"/>
        <family val="2"/>
      </rPr>
      <t xml:space="preserve">상표권자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전용사용권자 확인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공급처에 授权 자료 요청</t>
    </r>
  </si>
  <si>
    <t xml:space="preserve">할일</t>
  </si>
  <si>
    <t xml:space="preserve">T-004</t>
  </si>
  <si>
    <r>
      <rPr>
        <sz val="10"/>
        <rFont val="WenQuanYi Zen Hei"/>
        <family val="2"/>
      </rPr>
      <t xml:space="preserve">오퍼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건 실결제가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옵션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한국 배송 견적 캡처</t>
    </r>
  </si>
  <si>
    <t xml:space="preserve">2</t>
  </si>
  <si>
    <t xml:space="preserve">O-001~O-004</t>
  </si>
  <si>
    <t xml:space="preserve">T-005</t>
  </si>
  <si>
    <r>
      <rPr>
        <sz val="10"/>
        <rFont val="WenQuanYi Zen Hei"/>
        <family val="2"/>
      </rPr>
      <t xml:space="preserve">배송대행 업체 후보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곳 요율표 확보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타오바오 공식 집운 포함</t>
    </r>
    <r>
      <rPr>
        <sz val="10"/>
        <rFont val="Arial"/>
        <family val="0"/>
        <charset val="1"/>
      </rPr>
      <t xml:space="preserve">)</t>
    </r>
  </si>
  <si>
    <t xml:space="preserve">T-006</t>
  </si>
  <si>
    <r>
      <rPr>
        <sz val="10"/>
        <rFont val="WenQuanYi Zen Hei"/>
        <family val="2"/>
      </rPr>
      <t xml:space="preserve">환율 소스 결정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첫 환율 입력</t>
    </r>
  </si>
  <si>
    <t xml:space="preserve">T-007</t>
  </si>
  <si>
    <r>
      <rPr>
        <sz val="10"/>
        <rFont val="WenQuanYi Zen Hei"/>
        <family val="2"/>
      </rPr>
      <t xml:space="preserve">채널 후보별 수수료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구매대행 허용 정책 캡처</t>
    </r>
  </si>
  <si>
    <t xml:space="preserve">3</t>
  </si>
  <si>
    <t xml:space="preserve">스마트스토어 우선</t>
  </si>
  <si>
    <t xml:space="preserve">T-008</t>
  </si>
  <si>
    <t xml:space="preserve">기존 엑셀 조사 내용을 이 템플릿으로 옮겨 적기</t>
  </si>
  <si>
    <t xml:space="preserve">날짜</t>
  </si>
  <si>
    <t xml:space="preserve">원화환율</t>
  </si>
  <si>
    <t xml:space="preserve">종류</t>
  </si>
  <si>
    <t xml:space="preserve">수동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</si>
  <si>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입력 필요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은행 고시 환율 또는 카드 명세</t>
    </r>
  </si>
  <si>
    <t xml:space="preserve">첫 환율을 입력하기 전까지 원가 계산은 미확인</t>
  </si>
  <si>
    <t xml:space="preserve">방향</t>
  </si>
  <si>
    <t xml:space="preserve">단계</t>
  </si>
  <si>
    <t xml:space="preserve">부담</t>
  </si>
  <si>
    <t xml:space="preserve">발생단위</t>
  </si>
  <si>
    <t xml:space="preserve">설명</t>
  </si>
  <si>
    <t xml:space="preserve">sale_price</t>
  </si>
  <si>
    <t xml:space="preserve">상품 판매대금</t>
  </si>
  <si>
    <t xml:space="preserve">수입</t>
  </si>
  <si>
    <t xml:space="preserve">판매</t>
  </si>
  <si>
    <t xml:space="preserve">고객</t>
  </si>
  <si>
    <t xml:space="preserve">개당</t>
  </si>
  <si>
    <t xml:space="preserve">customer_shipping_fee</t>
  </si>
  <si>
    <t xml:space="preserve">고객 청구 배송비</t>
  </si>
  <si>
    <t xml:space="preserve">주문당</t>
  </si>
  <si>
    <r>
      <rPr>
        <sz val="10"/>
        <rFont val="WenQuanYi Zen Hei"/>
        <family val="2"/>
      </rPr>
      <t xml:space="preserve">쏠띵즈 </t>
    </r>
    <r>
      <rPr>
        <sz val="10"/>
        <rFont val="Arial"/>
        <family val="0"/>
        <charset val="1"/>
      </rPr>
      <t xml:space="preserve">5,900</t>
    </r>
    <r>
      <rPr>
        <sz val="10"/>
        <rFont val="WenQuanYi Zen Hei"/>
        <family val="2"/>
      </rPr>
      <t xml:space="preserve">원은 이 항목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경쟁사 참고</t>
    </r>
    <r>
      <rPr>
        <sz val="10"/>
        <rFont val="Arial"/>
        <family val="0"/>
        <charset val="1"/>
      </rPr>
      <t xml:space="preserve">)</t>
    </r>
  </si>
  <si>
    <t xml:space="preserve">goods_cost</t>
  </si>
  <si>
    <r>
      <rPr>
        <sz val="10"/>
        <rFont val="WenQuanYi Zen Hei"/>
        <family val="2"/>
      </rPr>
      <t xml:space="preserve">해외 상품 가격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실결제가</t>
    </r>
    <r>
      <rPr>
        <sz val="10"/>
        <rFont val="Arial"/>
        <family val="0"/>
        <charset val="1"/>
      </rPr>
      <t xml:space="preserve">)</t>
    </r>
  </si>
  <si>
    <t xml:space="preserve">지출</t>
  </si>
  <si>
    <t xml:space="preserve">매입</t>
  </si>
  <si>
    <t xml:space="preserve">나</t>
  </si>
  <si>
    <t xml:space="preserve">payment_fx_fee</t>
  </si>
  <si>
    <r>
      <rPr>
        <sz val="10"/>
        <rFont val="WenQuanYi Zen Hei"/>
        <family val="2"/>
      </rPr>
      <t xml:space="preserve">해외 결제 수수료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환가료</t>
    </r>
  </si>
  <si>
    <r>
      <rPr>
        <sz val="10"/>
        <rFont val="WenQuanYi Zen Hei"/>
        <family val="2"/>
      </rPr>
      <t xml:space="preserve">판매가의</t>
    </r>
    <r>
      <rPr>
        <sz val="10"/>
        <rFont val="Arial"/>
        <family val="0"/>
        <charset val="1"/>
      </rPr>
      <t xml:space="preserve">%</t>
    </r>
  </si>
  <si>
    <r>
      <rPr>
        <sz val="10"/>
        <rFont val="WenQuanYi Zen Hei"/>
        <family val="2"/>
      </rPr>
      <t xml:space="preserve">실제로는 결제액의 </t>
    </r>
    <r>
      <rPr>
        <sz val="10"/>
        <rFont val="Arial"/>
        <family val="0"/>
        <charset val="1"/>
      </rPr>
      <t xml:space="preserve">%</t>
    </r>
  </si>
  <si>
    <t xml:space="preserve">cn_domestic_shipping</t>
  </si>
  <si>
    <r>
      <rPr>
        <sz val="10"/>
        <rFont val="WenQuanYi Zen Hei"/>
        <family val="2"/>
      </rPr>
      <t xml:space="preserve">중국 내 배송비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판매자→대행창고</t>
    </r>
    <r>
      <rPr>
        <sz val="10"/>
        <rFont val="Arial"/>
        <family val="0"/>
        <charset val="1"/>
      </rPr>
      <t xml:space="preserve">)</t>
    </r>
  </si>
  <si>
    <t xml:space="preserve">운송</t>
  </si>
  <si>
    <t xml:space="preserve">발주당</t>
  </si>
  <si>
    <t xml:space="preserve">intl_shipping</t>
  </si>
  <si>
    <t xml:space="preserve">국제배송비</t>
  </si>
  <si>
    <t xml:space="preserve">소포당</t>
  </si>
  <si>
    <r>
      <rPr>
        <sz val="10"/>
        <rFont val="WenQuanYi Zen Hei"/>
        <family val="2"/>
      </rPr>
      <t xml:space="preserve">무게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부피</t>
    </r>
  </si>
  <si>
    <t xml:space="preserve">forwarder_fee</t>
  </si>
  <si>
    <r>
      <rPr>
        <sz val="10"/>
        <rFont val="WenQuanYi Zen Hei"/>
        <family val="2"/>
      </rPr>
      <t xml:space="preserve">대행 수수료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합포장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검수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재포장</t>
    </r>
  </si>
  <si>
    <t xml:space="preserve">customs_duty</t>
  </si>
  <si>
    <t xml:space="preserve">관세</t>
  </si>
  <si>
    <t xml:space="preserve">통관</t>
  </si>
  <si>
    <t xml:space="preserve">모델에따라</t>
  </si>
  <si>
    <t xml:space="preserve">customs_vat</t>
  </si>
  <si>
    <t xml:space="preserve">수입 부가세</t>
  </si>
  <si>
    <t xml:space="preserve">kr_domestic_shipping</t>
  </si>
  <si>
    <r>
      <rPr>
        <sz val="10"/>
        <rFont val="WenQuanYi Zen Hei"/>
        <family val="2"/>
      </rPr>
      <t xml:space="preserve">국내 택배비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국제 견적에 미포함일 때만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</si>
  <si>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포함이면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이 아니라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포함</t>
    </r>
    <r>
      <rPr>
        <sz val="10"/>
        <rFont val="Arial"/>
        <family val="0"/>
        <charset val="1"/>
      </rPr>
      <t xml:space="preserve">"</t>
    </r>
  </si>
  <si>
    <t xml:space="preserve">channel_commission</t>
  </si>
  <si>
    <t xml:space="preserve">채널 판매 수수료</t>
  </si>
  <si>
    <t xml:space="preserve">배송비 포함 여부는 채널별 확인</t>
  </si>
  <si>
    <t xml:space="preserve">payment_processing_fee</t>
  </si>
  <si>
    <t xml:space="preserve">결제 수수료</t>
  </si>
  <si>
    <t xml:space="preserve">inspection_packaging</t>
  </si>
  <si>
    <r>
      <rPr>
        <sz val="10"/>
        <rFont val="WenQuanYi Zen Hei"/>
        <family val="2"/>
      </rPr>
      <t xml:space="preserve">검수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포장 자재</t>
    </r>
  </si>
  <si>
    <t xml:space="preserve">ads</t>
  </si>
  <si>
    <t xml:space="preserve">광고비</t>
  </si>
  <si>
    <t xml:space="preserve">월</t>
  </si>
  <si>
    <t xml:space="preserve">배분</t>
  </si>
  <si>
    <t xml:space="preserve">returns_reserve</t>
  </si>
  <si>
    <r>
      <rPr>
        <sz val="10"/>
        <rFont val="WenQuanYi Zen Hei"/>
        <family val="2"/>
      </rPr>
      <t xml:space="preserve">반품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불량 예비비</t>
    </r>
  </si>
  <si>
    <t xml:space="preserve">fixed_costs</t>
  </si>
  <si>
    <r>
      <rPr>
        <sz val="10"/>
        <rFont val="WenQuanYi Zen Hei"/>
        <family val="2"/>
      </rPr>
      <t xml:space="preserve">고정비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도메인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호스팅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구독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</si>
</sst>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#,##0.0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5" hidden="false" customHeight="false" outlineLevel="0" collapsed="false">
      <c r="A5" s="2" t="s">
        <v>7</v>
      </c>
      <c r="B5" s="4" t="s">
        <v>8</v>
      </c>
    </row>
    <row r="6" customFormat="false" ht="15" hidden="false" customHeight="false" outlineLevel="0" collapsed="false">
      <c r="A6" s="2" t="s">
        <v>9</v>
      </c>
      <c r="B6" s="4" t="s">
        <v>10</v>
      </c>
    </row>
    <row r="7" customFormat="false" ht="15" hidden="false" customHeight="false" outlineLevel="0" collapsed="false">
      <c r="A7" s="2" t="s">
        <v>11</v>
      </c>
      <c r="B7" s="4" t="s">
        <v>12</v>
      </c>
    </row>
    <row r="8" customFormat="false" ht="15" hidden="false" customHeight="false" outlineLevel="0" collapsed="false">
      <c r="A8" s="2" t="s">
        <v>13</v>
      </c>
      <c r="B8" s="4" t="s">
        <v>14</v>
      </c>
    </row>
    <row r="9" customFormat="false" ht="15" hidden="false" customHeight="false" outlineLevel="0" collapsed="false">
      <c r="A9" s="2" t="s">
        <v>15</v>
      </c>
      <c r="B9" s="4" t="s">
        <v>16</v>
      </c>
    </row>
    <row r="10" customFormat="false" ht="15" hidden="false" customHeight="false" outlineLevel="0" collapsed="false">
      <c r="A10" s="2" t="s">
        <v>17</v>
      </c>
      <c r="B10" s="4" t="s">
        <v>18</v>
      </c>
    </row>
    <row r="11" customFormat="false" ht="26.85" hidden="false" customHeight="false" outlineLevel="0" collapsed="false">
      <c r="A11" s="2" t="s">
        <v>19</v>
      </c>
      <c r="B11" s="4" t="s">
        <v>20</v>
      </c>
    </row>
    <row r="12" customFormat="false" ht="15" hidden="false" customHeight="false" outlineLevel="0" collapsed="false">
      <c r="A12" s="5" t="s">
        <v>21</v>
      </c>
      <c r="B12" s="4" t="s">
        <v>22</v>
      </c>
    </row>
    <row r="13" customFormat="false" ht="15" hidden="false" customHeight="false" outlineLevel="0" collapsed="false">
      <c r="A13" s="2" t="s">
        <v>23</v>
      </c>
      <c r="B13" s="4" t="s">
        <v>24</v>
      </c>
    </row>
    <row r="14" customFormat="false" ht="15" hidden="false" customHeight="false" outlineLevel="0" collapsed="false">
      <c r="A14" s="2" t="s">
        <v>25</v>
      </c>
      <c r="B14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4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0" hidden="false" customHeight="tru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</row>
    <row r="2" customFormat="false" ht="15" hidden="false" customHeight="false" outlineLevel="0" collapsed="false">
      <c r="A2" s="7" t="s">
        <v>43</v>
      </c>
      <c r="B2" s="8" t="s">
        <v>44</v>
      </c>
      <c r="C2" s="8" t="s">
        <v>45</v>
      </c>
      <c r="D2" s="8" t="s">
        <v>46</v>
      </c>
      <c r="E2" s="8" t="s">
        <v>47</v>
      </c>
      <c r="F2" s="7"/>
      <c r="G2" s="8" t="s">
        <v>48</v>
      </c>
      <c r="H2" s="7" t="s">
        <v>49</v>
      </c>
      <c r="I2" s="7"/>
      <c r="J2" s="7"/>
      <c r="K2" s="7"/>
      <c r="L2" s="7"/>
      <c r="M2" s="7" t="s">
        <v>50</v>
      </c>
      <c r="N2" s="9" t="n">
        <v>25000</v>
      </c>
      <c r="O2" s="7"/>
      <c r="P2" s="8" t="s">
        <v>51</v>
      </c>
    </row>
    <row r="3" customFormat="false" ht="15" hidden="false" customHeight="false" outlineLevel="0" collapsed="false">
      <c r="A3" s="7" t="s">
        <v>52</v>
      </c>
      <c r="B3" s="8" t="s">
        <v>53</v>
      </c>
      <c r="C3" s="8" t="s">
        <v>45</v>
      </c>
      <c r="D3" s="8" t="s">
        <v>54</v>
      </c>
      <c r="E3" s="8" t="s">
        <v>55</v>
      </c>
      <c r="F3" s="7"/>
      <c r="G3" s="8" t="s">
        <v>56</v>
      </c>
      <c r="H3" s="7" t="s">
        <v>57</v>
      </c>
      <c r="I3" s="7"/>
      <c r="J3" s="7"/>
      <c r="K3" s="7"/>
      <c r="L3" s="7"/>
      <c r="M3" s="7" t="s">
        <v>58</v>
      </c>
      <c r="N3" s="9" t="n">
        <v>22000</v>
      </c>
      <c r="O3" s="7" t="s">
        <v>59</v>
      </c>
      <c r="P3" s="8" t="s">
        <v>60</v>
      </c>
    </row>
    <row r="4" customFormat="false" ht="15" hidden="false" customHeight="false" outlineLevel="0" collapsed="false">
      <c r="A4" s="7" t="s">
        <v>61</v>
      </c>
      <c r="B4" s="8" t="s">
        <v>62</v>
      </c>
      <c r="C4" s="8" t="s">
        <v>45</v>
      </c>
      <c r="D4" s="8" t="s">
        <v>46</v>
      </c>
      <c r="E4" s="8" t="s">
        <v>47</v>
      </c>
      <c r="F4" s="7"/>
      <c r="G4" s="8" t="s">
        <v>48</v>
      </c>
      <c r="H4" s="7" t="s">
        <v>49</v>
      </c>
      <c r="I4" s="7"/>
      <c r="J4" s="7"/>
      <c r="K4" s="7"/>
      <c r="L4" s="7"/>
      <c r="M4" s="7" t="s">
        <v>63</v>
      </c>
      <c r="N4" s="9" t="n">
        <v>31500</v>
      </c>
      <c r="O4" s="7"/>
      <c r="P4" s="8" t="s">
        <v>64</v>
      </c>
    </row>
    <row r="5" customFormat="false" ht="15" hidden="false" customHeight="false" outlineLevel="0" collapsed="false">
      <c r="A5" s="7" t="s">
        <v>65</v>
      </c>
      <c r="B5" s="8" t="s">
        <v>66</v>
      </c>
      <c r="C5" s="8" t="s">
        <v>45</v>
      </c>
      <c r="D5" s="8" t="s">
        <v>54</v>
      </c>
      <c r="E5" s="8" t="s">
        <v>55</v>
      </c>
      <c r="F5" s="7"/>
      <c r="G5" s="8" t="s">
        <v>48</v>
      </c>
      <c r="H5" s="7" t="s">
        <v>57</v>
      </c>
      <c r="I5" s="7"/>
      <c r="J5" s="7"/>
      <c r="K5" s="7"/>
      <c r="L5" s="7"/>
      <c r="M5" s="7" t="s">
        <v>67</v>
      </c>
      <c r="N5" s="9" t="n">
        <v>22500</v>
      </c>
      <c r="O5" s="7"/>
      <c r="P5" s="8" t="s">
        <v>68</v>
      </c>
    </row>
  </sheetData>
  <dataValidations count="3">
    <dataValidation allowBlank="true" error="목록에 있는 값만 입력할 수 있습니다" errorStyle="stop" errorTitle="목록에서 선택" operator="between" showDropDown="false" showErrorMessage="true" showInputMessage="false" sqref="D2:D500" type="list">
      <formula1>"봉제인형,인형 키링,아크릴,문구,기타"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E2:E500" type="list">
      <formula1>"지정,랜덤,세트"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G2:G500" type="list">
      <formula1>"발견,조사,원가확인,가격결정,등록준비,판매중,일시정지,중단,탈락,보류"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  <c r="M1" s="6" t="s">
        <v>81</v>
      </c>
    </row>
    <row r="2" customFormat="false" ht="15" hidden="false" customHeight="false" outlineLevel="0" collapsed="false">
      <c r="A2" s="7" t="s">
        <v>82</v>
      </c>
      <c r="B2" s="7" t="s">
        <v>83</v>
      </c>
      <c r="C2" s="8" t="s">
        <v>84</v>
      </c>
      <c r="D2" s="8" t="s">
        <v>85</v>
      </c>
      <c r="E2" s="8" t="s">
        <v>86</v>
      </c>
      <c r="F2" s="7" t="s">
        <v>87</v>
      </c>
      <c r="G2" s="7" t="s">
        <v>88</v>
      </c>
      <c r="H2" s="7"/>
      <c r="I2" s="8" t="s">
        <v>89</v>
      </c>
      <c r="J2" s="8" t="s">
        <v>89</v>
      </c>
      <c r="K2" s="7"/>
      <c r="L2" s="8" t="s">
        <v>90</v>
      </c>
      <c r="M2" s="7"/>
    </row>
    <row r="3" customFormat="false" ht="15" hidden="false" customHeight="false" outlineLevel="0" collapsed="false">
      <c r="A3" s="7" t="s">
        <v>91</v>
      </c>
      <c r="B3" s="7" t="s">
        <v>92</v>
      </c>
      <c r="C3" s="8" t="s">
        <v>93</v>
      </c>
      <c r="D3" s="8" t="s">
        <v>94</v>
      </c>
      <c r="E3" s="8" t="s">
        <v>86</v>
      </c>
      <c r="F3" s="7" t="s">
        <v>95</v>
      </c>
      <c r="G3" s="7" t="s">
        <v>88</v>
      </c>
      <c r="H3" s="7"/>
      <c r="I3" s="8" t="s">
        <v>89</v>
      </c>
      <c r="J3" s="8" t="s">
        <v>89</v>
      </c>
      <c r="K3" s="7"/>
      <c r="L3" s="8" t="s">
        <v>96</v>
      </c>
      <c r="M3" s="7"/>
    </row>
    <row r="4" customFormat="false" ht="15" hidden="false" customHeight="false" outlineLevel="0" collapsed="false">
      <c r="A4" s="7" t="s">
        <v>97</v>
      </c>
      <c r="B4" s="7" t="s">
        <v>98</v>
      </c>
      <c r="C4" s="7"/>
      <c r="D4" s="8" t="s">
        <v>99</v>
      </c>
      <c r="E4" s="8" t="s">
        <v>100</v>
      </c>
      <c r="F4" s="7" t="s">
        <v>101</v>
      </c>
      <c r="G4" s="7" t="s">
        <v>102</v>
      </c>
      <c r="H4" s="7"/>
      <c r="I4" s="8" t="s">
        <v>89</v>
      </c>
      <c r="J4" s="8" t="s">
        <v>89</v>
      </c>
      <c r="K4" s="7"/>
      <c r="L4" s="8" t="s">
        <v>103</v>
      </c>
      <c r="M4" s="7"/>
    </row>
    <row r="5" customFormat="false" ht="15" hidden="false" customHeight="false" outlineLevel="0" collapsed="false">
      <c r="A5" s="10" t="s">
        <v>104</v>
      </c>
      <c r="B5" s="10" t="s">
        <v>105</v>
      </c>
      <c r="C5" s="11" t="s">
        <v>106</v>
      </c>
      <c r="D5" s="11" t="s">
        <v>107</v>
      </c>
      <c r="E5" s="11" t="s">
        <v>108</v>
      </c>
      <c r="F5" s="10" t="s">
        <v>109</v>
      </c>
      <c r="G5" s="10" t="s">
        <v>88</v>
      </c>
      <c r="H5" s="11" t="s">
        <v>110</v>
      </c>
      <c r="I5" s="11" t="s">
        <v>111</v>
      </c>
      <c r="J5" s="11" t="s">
        <v>112</v>
      </c>
      <c r="K5" s="11" t="s">
        <v>113</v>
      </c>
      <c r="L5" s="11" t="s">
        <v>114</v>
      </c>
      <c r="M5" s="10" t="s">
        <v>115</v>
      </c>
    </row>
  </sheetData>
  <dataValidations count="4">
    <dataValidation allowBlank="true" error="목록에 있는 값만 입력할 수 있습니다" errorStyle="stop" errorTitle="목록에서 선택" operator="between" showDropDown="false" showErrorMessage="true" showInputMessage="false" sqref="D2:D500" type="list">
      <formula1>"타오바오,티몰,1688,루텐,기타"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E2:E500" type="list">
      <formula1>"브랜드공식,인가,일반,미상"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I2:I500" type="list">
      <formula1>"가능,불가,미확인"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J2:J500" type="list">
      <formula1>"확인,추정,미확인"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10" min="9" style="0" width="10"/>
    <col collapsed="false" customWidth="true" hidden="false" outlineLevel="0" max="12" min="11" style="0" width="8"/>
    <col collapsed="false" customWidth="true" hidden="false" outlineLevel="0" max="16" min="13" style="0" width="10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20" min="19" style="0" width="12"/>
    <col collapsed="false" customWidth="true" hidden="false" outlineLevel="0" max="21" min="21" style="0" width="14"/>
    <col collapsed="false" customWidth="true" hidden="false" outlineLevel="0" max="23" min="22" style="0" width="10"/>
    <col collapsed="false" customWidth="true" hidden="false" outlineLevel="0" max="24" min="24" style="0" width="14"/>
    <col collapsed="false" customWidth="true" hidden="false" outlineLevel="0" max="25" min="25" style="0" width="10"/>
    <col collapsed="false" customWidth="true" hidden="false" outlineLevel="0" max="26" min="26" style="0" width="40"/>
    <col collapsed="false" customWidth="true" hidden="false" outlineLevel="0" max="27" min="27" style="0" width="24"/>
    <col collapsed="false" customWidth="true" hidden="false" outlineLevel="0" max="29" min="28" style="0" width="12"/>
    <col collapsed="false" customWidth="true" hidden="false" outlineLevel="0" max="30" min="30" style="0" width="10"/>
    <col collapsed="false" customWidth="true" hidden="false" outlineLevel="0" max="31" min="31" style="0" width="20"/>
    <col collapsed="false" customWidth="true" hidden="false" outlineLevel="0" max="32" min="32" style="0" width="30"/>
  </cols>
  <sheetData>
    <row r="1" customFormat="false" ht="30" hidden="false" customHeight="true" outlineLevel="0" collapsed="false">
      <c r="A1" s="6" t="s">
        <v>116</v>
      </c>
      <c r="B1" s="6" t="s">
        <v>27</v>
      </c>
      <c r="C1" s="6" t="s">
        <v>69</v>
      </c>
      <c r="D1" s="6" t="s">
        <v>117</v>
      </c>
      <c r="E1" s="6" t="s">
        <v>118</v>
      </c>
      <c r="F1" s="6" t="s">
        <v>119</v>
      </c>
      <c r="G1" s="6" t="s">
        <v>120</v>
      </c>
      <c r="H1" s="6" t="s">
        <v>121</v>
      </c>
      <c r="I1" s="6" t="s">
        <v>122</v>
      </c>
      <c r="J1" s="6" t="s">
        <v>123</v>
      </c>
      <c r="K1" s="12" t="s">
        <v>124</v>
      </c>
      <c r="L1" s="6" t="s">
        <v>125</v>
      </c>
      <c r="M1" s="6" t="s">
        <v>126</v>
      </c>
      <c r="N1" s="6" t="s">
        <v>127</v>
      </c>
      <c r="O1" s="6" t="s">
        <v>128</v>
      </c>
      <c r="P1" s="6" t="s">
        <v>129</v>
      </c>
      <c r="Q1" s="6" t="s">
        <v>130</v>
      </c>
      <c r="R1" s="6" t="s">
        <v>131</v>
      </c>
      <c r="S1" s="6" t="s">
        <v>132</v>
      </c>
      <c r="T1" s="6" t="s">
        <v>133</v>
      </c>
      <c r="U1" s="6" t="s">
        <v>134</v>
      </c>
      <c r="V1" s="6" t="s">
        <v>135</v>
      </c>
      <c r="W1" s="6" t="s">
        <v>136</v>
      </c>
      <c r="X1" s="6" t="s">
        <v>137</v>
      </c>
      <c r="Y1" s="6" t="s">
        <v>138</v>
      </c>
      <c r="Z1" s="6" t="s">
        <v>139</v>
      </c>
      <c r="AA1" s="6" t="s">
        <v>140</v>
      </c>
      <c r="AB1" s="6" t="s">
        <v>141</v>
      </c>
      <c r="AC1" s="6" t="s">
        <v>142</v>
      </c>
      <c r="AD1" s="6" t="s">
        <v>143</v>
      </c>
      <c r="AE1" s="6" t="s">
        <v>144</v>
      </c>
      <c r="AF1" s="6" t="s">
        <v>42</v>
      </c>
    </row>
    <row r="2" customFormat="false" ht="15" hidden="false" customHeight="false" outlineLevel="0" collapsed="false">
      <c r="A2" s="7" t="s">
        <v>145</v>
      </c>
      <c r="B2" s="7" t="s">
        <v>43</v>
      </c>
      <c r="C2" s="7" t="s">
        <v>82</v>
      </c>
      <c r="D2" s="7" t="s">
        <v>87</v>
      </c>
      <c r="E2" s="7"/>
      <c r="F2" s="8" t="s">
        <v>146</v>
      </c>
      <c r="G2" s="7"/>
      <c r="H2" s="7"/>
      <c r="I2" s="13" t="n">
        <v>1</v>
      </c>
      <c r="J2" s="13" t="n">
        <v>1</v>
      </c>
      <c r="K2" s="7"/>
      <c r="L2" s="7" t="s">
        <v>147</v>
      </c>
      <c r="M2" s="14" t="n">
        <v>79</v>
      </c>
      <c r="N2" s="8" t="s">
        <v>112</v>
      </c>
      <c r="O2" s="7"/>
      <c r="P2" s="8" t="s">
        <v>89</v>
      </c>
      <c r="Q2" s="8" t="s">
        <v>89</v>
      </c>
      <c r="R2" s="7"/>
      <c r="S2" s="8" t="s">
        <v>89</v>
      </c>
      <c r="T2" s="7"/>
      <c r="U2" s="8" t="s">
        <v>89</v>
      </c>
      <c r="V2" s="7"/>
      <c r="W2" s="8" t="s">
        <v>89</v>
      </c>
      <c r="X2" s="8" t="s">
        <v>89</v>
      </c>
      <c r="Y2" s="7" t="s">
        <v>148</v>
      </c>
      <c r="Z2" s="7" t="s">
        <v>87</v>
      </c>
      <c r="AA2" s="7"/>
      <c r="AB2" s="7"/>
      <c r="AC2" s="7"/>
      <c r="AD2" s="8" t="s">
        <v>149</v>
      </c>
      <c r="AE2" s="7"/>
      <c r="AF2" s="8" t="s">
        <v>150</v>
      </c>
    </row>
    <row r="3" customFormat="false" ht="15" hidden="false" customHeight="false" outlineLevel="0" collapsed="false">
      <c r="A3" s="7" t="s">
        <v>151</v>
      </c>
      <c r="B3" s="7" t="s">
        <v>52</v>
      </c>
      <c r="C3" s="7" t="s">
        <v>91</v>
      </c>
      <c r="D3" s="7" t="s">
        <v>152</v>
      </c>
      <c r="E3" s="8" t="s">
        <v>153</v>
      </c>
      <c r="F3" s="8" t="s">
        <v>55</v>
      </c>
      <c r="G3" s="7"/>
      <c r="H3" s="7"/>
      <c r="I3" s="13" t="n">
        <v>1</v>
      </c>
      <c r="J3" s="13" t="n">
        <v>1</v>
      </c>
      <c r="K3" s="7"/>
      <c r="L3" s="7" t="s">
        <v>147</v>
      </c>
      <c r="M3" s="14" t="n">
        <v>59.9</v>
      </c>
      <c r="N3" s="8" t="s">
        <v>112</v>
      </c>
      <c r="O3" s="7"/>
      <c r="P3" s="8" t="s">
        <v>89</v>
      </c>
      <c r="Q3" s="8" t="s">
        <v>89</v>
      </c>
      <c r="R3" s="7"/>
      <c r="S3" s="8" t="s">
        <v>89</v>
      </c>
      <c r="T3" s="7"/>
      <c r="U3" s="8" t="s">
        <v>89</v>
      </c>
      <c r="V3" s="7"/>
      <c r="W3" s="8" t="s">
        <v>89</v>
      </c>
      <c r="X3" s="8" t="s">
        <v>89</v>
      </c>
      <c r="Y3" s="7" t="s">
        <v>148</v>
      </c>
      <c r="Z3" s="7" t="s">
        <v>152</v>
      </c>
      <c r="AA3" s="7"/>
      <c r="AB3" s="7"/>
      <c r="AC3" s="7"/>
      <c r="AD3" s="8" t="s">
        <v>149</v>
      </c>
      <c r="AE3" s="7"/>
      <c r="AF3" s="8" t="s">
        <v>154</v>
      </c>
    </row>
    <row r="4" customFormat="false" ht="15" hidden="false" customHeight="false" outlineLevel="0" collapsed="false">
      <c r="A4" s="7" t="s">
        <v>155</v>
      </c>
      <c r="B4" s="7" t="s">
        <v>52</v>
      </c>
      <c r="C4" s="7" t="s">
        <v>91</v>
      </c>
      <c r="D4" s="7" t="s">
        <v>95</v>
      </c>
      <c r="E4" s="7"/>
      <c r="F4" s="8" t="s">
        <v>55</v>
      </c>
      <c r="G4" s="7"/>
      <c r="H4" s="7"/>
      <c r="I4" s="13" t="n">
        <v>1</v>
      </c>
      <c r="J4" s="13" t="n">
        <v>1</v>
      </c>
      <c r="K4" s="7"/>
      <c r="L4" s="7" t="s">
        <v>147</v>
      </c>
      <c r="M4" s="7"/>
      <c r="N4" s="8" t="s">
        <v>89</v>
      </c>
      <c r="O4" s="7"/>
      <c r="P4" s="8" t="s">
        <v>89</v>
      </c>
      <c r="Q4" s="8" t="s">
        <v>89</v>
      </c>
      <c r="R4" s="7"/>
      <c r="S4" s="8" t="s">
        <v>89</v>
      </c>
      <c r="T4" s="7"/>
      <c r="U4" s="8" t="s">
        <v>89</v>
      </c>
      <c r="V4" s="7"/>
      <c r="W4" s="8" t="s">
        <v>89</v>
      </c>
      <c r="X4" s="8" t="s">
        <v>89</v>
      </c>
      <c r="Y4" s="7" t="s">
        <v>148</v>
      </c>
      <c r="Z4" s="7" t="s">
        <v>95</v>
      </c>
      <c r="AA4" s="7"/>
      <c r="AB4" s="7"/>
      <c r="AC4" s="7"/>
      <c r="AD4" s="8" t="s">
        <v>149</v>
      </c>
      <c r="AE4" s="7"/>
      <c r="AF4" s="7" t="s">
        <v>156</v>
      </c>
    </row>
    <row r="5" customFormat="false" ht="15" hidden="false" customHeight="false" outlineLevel="0" collapsed="false">
      <c r="A5" s="7" t="s">
        <v>157</v>
      </c>
      <c r="B5" s="7" t="s">
        <v>52</v>
      </c>
      <c r="C5" s="7" t="s">
        <v>97</v>
      </c>
      <c r="D5" s="7" t="s">
        <v>101</v>
      </c>
      <c r="E5" s="8" t="s">
        <v>158</v>
      </c>
      <c r="F5" s="8" t="s">
        <v>146</v>
      </c>
      <c r="G5" s="7" t="s">
        <v>159</v>
      </c>
      <c r="H5" s="7"/>
      <c r="I5" s="13" t="n">
        <v>1</v>
      </c>
      <c r="J5" s="13" t="n">
        <v>1</v>
      </c>
      <c r="K5" s="7"/>
      <c r="L5" s="7" t="s">
        <v>160</v>
      </c>
      <c r="M5" s="14" t="n">
        <v>730</v>
      </c>
      <c r="N5" s="8" t="s">
        <v>112</v>
      </c>
      <c r="O5" s="7"/>
      <c r="P5" s="8" t="s">
        <v>89</v>
      </c>
      <c r="Q5" s="8" t="s">
        <v>89</v>
      </c>
      <c r="R5" s="7"/>
      <c r="S5" s="8" t="s">
        <v>89</v>
      </c>
      <c r="T5" s="7"/>
      <c r="U5" s="8" t="s">
        <v>89</v>
      </c>
      <c r="V5" s="7"/>
      <c r="W5" s="8" t="s">
        <v>89</v>
      </c>
      <c r="X5" s="8" t="s">
        <v>89</v>
      </c>
      <c r="Y5" s="7" t="s">
        <v>148</v>
      </c>
      <c r="Z5" s="7" t="s">
        <v>101</v>
      </c>
      <c r="AA5" s="7"/>
      <c r="AB5" s="7"/>
      <c r="AC5" s="7"/>
      <c r="AD5" s="8" t="s">
        <v>149</v>
      </c>
      <c r="AE5" s="7"/>
      <c r="AF5" s="8" t="s">
        <v>161</v>
      </c>
    </row>
    <row r="6" customFormat="false" ht="15" hidden="false" customHeight="false" outlineLevel="0" collapsed="false">
      <c r="A6" s="10" t="s">
        <v>162</v>
      </c>
      <c r="B6" s="10" t="s">
        <v>52</v>
      </c>
      <c r="C6" s="10" t="s">
        <v>104</v>
      </c>
      <c r="D6" s="10" t="s">
        <v>163</v>
      </c>
      <c r="E6" s="10" t="s">
        <v>164</v>
      </c>
      <c r="F6" s="11" t="s">
        <v>55</v>
      </c>
      <c r="G6" s="10"/>
      <c r="H6" s="10" t="s">
        <v>165</v>
      </c>
      <c r="I6" s="15" t="n">
        <v>1</v>
      </c>
      <c r="J6" s="15" t="n">
        <v>10</v>
      </c>
      <c r="K6" s="15" t="n">
        <v>1</v>
      </c>
      <c r="L6" s="10" t="s">
        <v>147</v>
      </c>
      <c r="M6" s="16" t="n">
        <v>65</v>
      </c>
      <c r="N6" s="11" t="s">
        <v>112</v>
      </c>
      <c r="O6" s="16" t="n">
        <v>59.9</v>
      </c>
      <c r="P6" s="11" t="s">
        <v>112</v>
      </c>
      <c r="Q6" s="11" t="s">
        <v>166</v>
      </c>
      <c r="R6" s="16" t="n">
        <v>0</v>
      </c>
      <c r="S6" s="11" t="s">
        <v>112</v>
      </c>
      <c r="T6" s="10"/>
      <c r="U6" s="11" t="s">
        <v>89</v>
      </c>
      <c r="V6" s="15" t="n">
        <v>3</v>
      </c>
      <c r="W6" s="11" t="s">
        <v>112</v>
      </c>
      <c r="X6" s="11" t="s">
        <v>167</v>
      </c>
      <c r="Y6" s="11" t="s">
        <v>168</v>
      </c>
      <c r="Z6" s="10"/>
      <c r="AA6" s="10"/>
      <c r="AB6" s="10" t="s">
        <v>115</v>
      </c>
      <c r="AC6" s="10" t="s">
        <v>169</v>
      </c>
      <c r="AD6" s="11" t="s">
        <v>149</v>
      </c>
      <c r="AE6" s="10"/>
      <c r="AF6" s="11" t="s">
        <v>170</v>
      </c>
    </row>
  </sheetData>
  <dataValidations count="11">
    <dataValidation allowBlank="true" error="목록에 있는 값만 입력할 수 있습니다" errorStyle="stop" errorTitle="목록에서 선택" operator="between" showDropDown="false" showErrorMessage="true" showInputMessage="false" sqref="F2:F500" type="list">
      <formula1>"단품,세트,랜덤,지정"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L2:L500" type="list">
      <formula1>"CNY,TWD,USD,JPY,KRW"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N2:N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P2:P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Q2:Q500" type="list">
      <formula1>"없음,중국내,한국까지,미확인"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S2:S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U2:U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W2:W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X2:X500" type="list">
      <formula1>"공식라이선스표기,授权서류확인,판매자주장,없음,미확인"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Y2:Y500" type="list">
      <formula1>"url,캡처,메시지,통화,문서,경쟁사관찰,자체추정"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AD2:AD500" type="list">
      <formula1>"후보,검증,탈락,선택"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1" min="10" style="0" width="16"/>
    <col collapsed="false" customWidth="true" hidden="false" outlineLevel="0" max="12" min="12" style="0" width="10"/>
    <col collapsed="false" customWidth="true" hidden="false" outlineLevel="0" max="14" min="13" style="0" width="8"/>
    <col collapsed="false" customWidth="true" hidden="false" outlineLevel="0" max="17" min="15" style="0" width="16"/>
    <col collapsed="false" customWidth="true" hidden="false" outlineLevel="0" max="18" min="18" style="0" width="10"/>
    <col collapsed="false" customWidth="true" hidden="false" outlineLevel="0" max="20" min="19" style="0" width="8"/>
    <col collapsed="false" customWidth="true" hidden="false" outlineLevel="0" max="23" min="21" style="0" width="16"/>
    <col collapsed="false" customWidth="true" hidden="false" outlineLevel="0" max="24" min="24" style="0" width="10"/>
    <col collapsed="false" customWidth="true" hidden="false" outlineLevel="0" max="26" min="25" style="0" width="8"/>
    <col collapsed="false" customWidth="true" hidden="false" outlineLevel="0" max="27" min="27" style="0" width="16"/>
    <col collapsed="false" customWidth="true" hidden="false" outlineLevel="0" max="28" min="28" style="0" width="10"/>
    <col collapsed="false" customWidth="true" hidden="false" outlineLevel="0" max="29" min="29" style="0" width="14"/>
    <col collapsed="false" customWidth="true" hidden="false" outlineLevel="0" max="30" min="30" style="0" width="8"/>
    <col collapsed="false" customWidth="true" hidden="false" outlineLevel="0" max="31" min="31" style="0" width="14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2"/>
    <col collapsed="false" customWidth="true" hidden="false" outlineLevel="0" max="36" min="35" style="0" width="30"/>
  </cols>
  <sheetData>
    <row r="1" customFormat="false" ht="30" hidden="false" customHeight="true" outlineLevel="0" collapsed="false">
      <c r="A1" s="6" t="s">
        <v>171</v>
      </c>
      <c r="B1" s="6" t="s">
        <v>27</v>
      </c>
      <c r="C1" s="6" t="s">
        <v>116</v>
      </c>
      <c r="D1" s="6" t="s">
        <v>70</v>
      </c>
      <c r="E1" s="6" t="s">
        <v>172</v>
      </c>
      <c r="F1" s="6" t="s">
        <v>173</v>
      </c>
      <c r="G1" s="6" t="s">
        <v>174</v>
      </c>
      <c r="H1" s="6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  <c r="S1" s="6" t="s">
        <v>186</v>
      </c>
      <c r="T1" s="6" t="s">
        <v>187</v>
      </c>
      <c r="U1" s="6" t="s">
        <v>188</v>
      </c>
      <c r="V1" s="6" t="s">
        <v>189</v>
      </c>
      <c r="W1" s="6" t="s">
        <v>190</v>
      </c>
      <c r="X1" s="6" t="s">
        <v>191</v>
      </c>
      <c r="Y1" s="6" t="s">
        <v>192</v>
      </c>
      <c r="Z1" s="6" t="s">
        <v>193</v>
      </c>
      <c r="AA1" s="6" t="s">
        <v>194</v>
      </c>
      <c r="AB1" s="6" t="s">
        <v>195</v>
      </c>
      <c r="AC1" s="6" t="s">
        <v>196</v>
      </c>
      <c r="AD1" s="6" t="s">
        <v>197</v>
      </c>
      <c r="AE1" s="6" t="s">
        <v>198</v>
      </c>
      <c r="AF1" s="6" t="s">
        <v>199</v>
      </c>
      <c r="AG1" s="6" t="s">
        <v>200</v>
      </c>
      <c r="AH1" s="6" t="s">
        <v>141</v>
      </c>
      <c r="AI1" s="6" t="s">
        <v>201</v>
      </c>
      <c r="AJ1" s="6" t="s">
        <v>42</v>
      </c>
    </row>
    <row r="2" customFormat="false" ht="15" hidden="false" customHeight="false" outlineLevel="0" collapsed="false">
      <c r="A2" s="7" t="s">
        <v>202</v>
      </c>
      <c r="B2" s="7" t="s">
        <v>52</v>
      </c>
      <c r="C2" s="7" t="s">
        <v>151</v>
      </c>
      <c r="D2" s="8" t="s">
        <v>203</v>
      </c>
      <c r="E2" s="8" t="s">
        <v>204</v>
      </c>
      <c r="F2" s="7"/>
      <c r="G2" s="8" t="s">
        <v>89</v>
      </c>
      <c r="H2" s="7"/>
      <c r="I2" s="8" t="s">
        <v>89</v>
      </c>
      <c r="J2" s="8" t="s">
        <v>205</v>
      </c>
      <c r="K2" s="8" t="s">
        <v>206</v>
      </c>
      <c r="L2" s="7"/>
      <c r="M2" s="7" t="s">
        <v>147</v>
      </c>
      <c r="N2" s="8" t="s">
        <v>89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8" t="s">
        <v>89</v>
      </c>
      <c r="AC2" s="7"/>
      <c r="AD2" s="8" t="s">
        <v>89</v>
      </c>
      <c r="AE2" s="7"/>
      <c r="AF2" s="8" t="s">
        <v>89</v>
      </c>
      <c r="AG2" s="7"/>
      <c r="AH2" s="7"/>
      <c r="AI2" s="7"/>
      <c r="AJ2" s="8" t="s">
        <v>207</v>
      </c>
    </row>
    <row r="3" customFormat="false" ht="15" hidden="false" customHeight="false" outlineLevel="0" collapsed="false">
      <c r="A3" s="7" t="s">
        <v>208</v>
      </c>
      <c r="B3" s="7" t="s">
        <v>52</v>
      </c>
      <c r="C3" s="7" t="s">
        <v>151</v>
      </c>
      <c r="D3" s="8" t="s">
        <v>209</v>
      </c>
      <c r="E3" s="8" t="s">
        <v>210</v>
      </c>
      <c r="F3" s="13" t="n">
        <v>4</v>
      </c>
      <c r="G3" s="8" t="s">
        <v>112</v>
      </c>
      <c r="H3" s="7"/>
      <c r="I3" s="8" t="s">
        <v>89</v>
      </c>
      <c r="J3" s="8" t="s">
        <v>211</v>
      </c>
      <c r="K3" s="8" t="s">
        <v>212</v>
      </c>
      <c r="L3" s="7"/>
      <c r="M3" s="7" t="s">
        <v>147</v>
      </c>
      <c r="N3" s="8" t="s">
        <v>89</v>
      </c>
      <c r="O3" s="7"/>
      <c r="P3" s="8" t="s">
        <v>213</v>
      </c>
      <c r="Q3" s="7" t="s">
        <v>214</v>
      </c>
      <c r="R3" s="7"/>
      <c r="S3" s="7" t="s">
        <v>147</v>
      </c>
      <c r="T3" s="8" t="s">
        <v>89</v>
      </c>
      <c r="U3" s="8" t="s">
        <v>215</v>
      </c>
      <c r="V3" s="8" t="s">
        <v>216</v>
      </c>
      <c r="W3" s="8" t="s">
        <v>217</v>
      </c>
      <c r="X3" s="7"/>
      <c r="Y3" s="7" t="s">
        <v>218</v>
      </c>
      <c r="Z3" s="8" t="s">
        <v>89</v>
      </c>
      <c r="AA3" s="7"/>
      <c r="AB3" s="8" t="s">
        <v>89</v>
      </c>
      <c r="AC3" s="7"/>
      <c r="AD3" s="8" t="s">
        <v>89</v>
      </c>
      <c r="AE3" s="7"/>
      <c r="AF3" s="8" t="s">
        <v>89</v>
      </c>
      <c r="AG3" s="7"/>
      <c r="AH3" s="7"/>
      <c r="AI3" s="7"/>
      <c r="AJ3" s="8" t="s">
        <v>219</v>
      </c>
    </row>
    <row r="4" customFormat="false" ht="15" hidden="false" customHeight="false" outlineLevel="0" collapsed="false">
      <c r="A4" s="10" t="s">
        <v>220</v>
      </c>
      <c r="B4" s="10" t="s">
        <v>52</v>
      </c>
      <c r="C4" s="10" t="s">
        <v>162</v>
      </c>
      <c r="D4" s="10" t="s">
        <v>221</v>
      </c>
      <c r="E4" s="11" t="s">
        <v>210</v>
      </c>
      <c r="F4" s="15" t="n">
        <v>4</v>
      </c>
      <c r="G4" s="11" t="s">
        <v>112</v>
      </c>
      <c r="H4" s="15" t="n">
        <v>600</v>
      </c>
      <c r="I4" s="11" t="s">
        <v>112</v>
      </c>
      <c r="J4" s="11" t="s">
        <v>211</v>
      </c>
      <c r="K4" s="11" t="s">
        <v>222</v>
      </c>
      <c r="L4" s="16" t="n">
        <v>0</v>
      </c>
      <c r="M4" s="10" t="s">
        <v>147</v>
      </c>
      <c r="N4" s="11" t="s">
        <v>112</v>
      </c>
      <c r="O4" s="10"/>
      <c r="P4" s="11" t="s">
        <v>213</v>
      </c>
      <c r="Q4" s="10" t="s">
        <v>223</v>
      </c>
      <c r="R4" s="16" t="n">
        <v>45</v>
      </c>
      <c r="S4" s="10" t="s">
        <v>147</v>
      </c>
      <c r="T4" s="11" t="s">
        <v>112</v>
      </c>
      <c r="U4" s="11" t="s">
        <v>217</v>
      </c>
      <c r="V4" s="11" t="s">
        <v>216</v>
      </c>
      <c r="W4" s="11" t="s">
        <v>224</v>
      </c>
      <c r="X4" s="16" t="n">
        <v>0</v>
      </c>
      <c r="Y4" s="10" t="s">
        <v>218</v>
      </c>
      <c r="Z4" s="11" t="s">
        <v>225</v>
      </c>
      <c r="AA4" s="11" t="s">
        <v>226</v>
      </c>
      <c r="AB4" s="11" t="s">
        <v>227</v>
      </c>
      <c r="AC4" s="17" t="n">
        <v>0</v>
      </c>
      <c r="AD4" s="11" t="s">
        <v>112</v>
      </c>
      <c r="AE4" s="17" t="n">
        <v>0</v>
      </c>
      <c r="AF4" s="11" t="s">
        <v>112</v>
      </c>
      <c r="AG4" s="10" t="s">
        <v>228</v>
      </c>
      <c r="AH4" s="10" t="s">
        <v>115</v>
      </c>
      <c r="AI4" s="11" t="s">
        <v>229</v>
      </c>
      <c r="AJ4" s="11" t="s">
        <v>170</v>
      </c>
    </row>
  </sheetData>
  <dataValidations count="15">
    <dataValidation allowBlank="true" error="목록에 있는 값만 입력할 수 있습니다" errorStyle="stop" errorTitle="목록에서 선택" operator="between" showDropDown="false" showErrorMessage="true" showInputMessage="false" sqref="E2:E500" type="list">
      <formula1>"직배송,배송대행"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G2:G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I2:I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J2:J500" type="list">
      <formula1>"판매자→한국고객,판매자→대행창고,대행창고→한국통관,한국통관→고객"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M2:M500" type="list">
      <formula1>"CNY,KRW,USD,TWD,JPY"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N2:N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P2:P500" type="list">
      <formula1>"판매자→한국고객,판매자→대행창고,대행창고→한국통관,한국통관→고객"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S2:S500" type="list">
      <formula1>"CNY,KRW,USD,TWD,JPY"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T2:T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V2:V500" type="list">
      <formula1>"판매자→한국고객,판매자→대행창고,대행창고→한국통관,한국통관→고객"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Y2:Y500" type="list">
      <formula1>"CNY,KRW,USD,TWD,JPY"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Z2:Z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AB2:AB500" type="list">
      <formula1>"목록통관,일반통관,미확인"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AD2:AD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AF2:AF500" type="list">
      <formula1>"확인,추정,미확인"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16"/>
    <col collapsed="false" customWidth="true" hidden="false" outlineLevel="0" max="18" min="18" style="0" width="10"/>
    <col collapsed="false" customWidth="true" hidden="false" outlineLevel="0" max="20" min="19" style="0" width="14"/>
    <col collapsed="false" customWidth="true" hidden="false" outlineLevel="0" max="21" min="21" style="0" width="12"/>
    <col collapsed="false" customWidth="true" hidden="false" outlineLevel="0" max="22" min="22" style="0" width="24"/>
    <col collapsed="false" customWidth="true" hidden="false" outlineLevel="0" max="23" min="23" style="0" width="12"/>
    <col collapsed="false" customWidth="true" hidden="false" outlineLevel="0" max="24" min="24" style="0" width="10"/>
    <col collapsed="false" customWidth="true" hidden="false" outlineLevel="0" max="25" min="25" style="0" width="8"/>
    <col collapsed="false" customWidth="true" hidden="false" outlineLevel="0" max="26" min="26" style="0" width="10"/>
    <col collapsed="false" customWidth="true" hidden="false" outlineLevel="0" max="27" min="27" style="0" width="12"/>
    <col collapsed="false" customWidth="true" hidden="false" outlineLevel="0" max="28" min="28" style="0" width="14"/>
    <col collapsed="false" customWidth="true" hidden="false" outlineLevel="0" max="29" min="29" style="0" width="10"/>
    <col collapsed="false" customWidth="true" hidden="false" outlineLevel="0" max="31" min="30" style="0" width="8"/>
    <col collapsed="false" customWidth="true" hidden="false" outlineLevel="0" max="32" min="32" style="0" width="14"/>
    <col collapsed="false" customWidth="true" hidden="false" outlineLevel="0" max="33" min="33" style="0" width="10"/>
    <col collapsed="false" customWidth="true" hidden="false" outlineLevel="0" max="35" min="34" style="0" width="8"/>
    <col collapsed="false" customWidth="true" hidden="false" outlineLevel="0" max="36" min="36" style="0" width="14"/>
    <col collapsed="false" customWidth="true" hidden="false" outlineLevel="0" max="37" min="37" style="0" width="10"/>
    <col collapsed="false" customWidth="true" hidden="false" outlineLevel="0" max="39" min="38" style="0" width="8"/>
    <col collapsed="false" customWidth="true" hidden="false" outlineLevel="0" max="40" min="40" style="0" width="10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8"/>
    <col collapsed="false" customWidth="true" hidden="false" outlineLevel="0" max="45" min="44" style="0" width="10"/>
    <col collapsed="false" customWidth="true" hidden="false" outlineLevel="0" max="46" min="46" style="0" width="14"/>
    <col collapsed="false" customWidth="true" hidden="false" outlineLevel="0" max="49" min="47" style="0" width="16"/>
    <col collapsed="false" customWidth="true" hidden="false" outlineLevel="0" max="50" min="50" style="0" width="14"/>
    <col collapsed="false" customWidth="true" hidden="false" outlineLevel="0" max="52" min="51" style="0" width="16"/>
    <col collapsed="false" customWidth="true" hidden="false" outlineLevel="0" max="53" min="53" style="0" width="10"/>
    <col collapsed="false" customWidth="true" hidden="false" outlineLevel="0" max="55" min="54" style="0" width="18"/>
  </cols>
  <sheetData>
    <row r="1" customFormat="false" ht="30" hidden="false" customHeight="true" outlineLevel="0" collapsed="false">
      <c r="A1" s="6" t="s">
        <v>230</v>
      </c>
      <c r="B1" s="6" t="s">
        <v>27</v>
      </c>
      <c r="C1" s="6" t="s">
        <v>116</v>
      </c>
      <c r="D1" s="6" t="s">
        <v>171</v>
      </c>
      <c r="E1" s="6" t="s">
        <v>231</v>
      </c>
      <c r="F1" s="6" t="s">
        <v>232</v>
      </c>
      <c r="G1" s="18" t="s">
        <v>233</v>
      </c>
      <c r="H1" s="6" t="s">
        <v>234</v>
      </c>
      <c r="I1" s="6" t="s">
        <v>235</v>
      </c>
      <c r="J1" s="18" t="s">
        <v>236</v>
      </c>
      <c r="K1" s="18" t="s">
        <v>237</v>
      </c>
      <c r="L1" s="18" t="s">
        <v>238</v>
      </c>
      <c r="M1" s="18" t="s">
        <v>239</v>
      </c>
      <c r="N1" s="18" t="s">
        <v>240</v>
      </c>
      <c r="O1" s="6" t="s">
        <v>241</v>
      </c>
      <c r="P1" s="18" t="s">
        <v>242</v>
      </c>
      <c r="Q1" s="18" t="s">
        <v>243</v>
      </c>
      <c r="R1" s="18" t="s">
        <v>244</v>
      </c>
      <c r="S1" s="6" t="s">
        <v>245</v>
      </c>
      <c r="T1" s="6" t="s">
        <v>246</v>
      </c>
      <c r="U1" s="6" t="s">
        <v>247</v>
      </c>
      <c r="V1" s="6" t="s">
        <v>42</v>
      </c>
      <c r="W1" s="6" t="s">
        <v>248</v>
      </c>
      <c r="X1" s="6" t="s">
        <v>129</v>
      </c>
      <c r="Y1" s="6" t="s">
        <v>249</v>
      </c>
      <c r="Z1" s="6" t="s">
        <v>173</v>
      </c>
      <c r="AA1" s="6" t="s">
        <v>174</v>
      </c>
      <c r="AB1" s="6" t="s">
        <v>250</v>
      </c>
      <c r="AC1" s="6" t="s">
        <v>251</v>
      </c>
      <c r="AD1" s="6" t="s">
        <v>252</v>
      </c>
      <c r="AE1" s="6" t="s">
        <v>253</v>
      </c>
      <c r="AF1" s="6" t="s">
        <v>254</v>
      </c>
      <c r="AG1" s="6" t="s">
        <v>255</v>
      </c>
      <c r="AH1" s="6" t="s">
        <v>256</v>
      </c>
      <c r="AI1" s="6" t="s">
        <v>257</v>
      </c>
      <c r="AJ1" s="6" t="s">
        <v>258</v>
      </c>
      <c r="AK1" s="6" t="s">
        <v>259</v>
      </c>
      <c r="AL1" s="6" t="s">
        <v>260</v>
      </c>
      <c r="AM1" s="6" t="s">
        <v>261</v>
      </c>
      <c r="AN1" s="6" t="s">
        <v>262</v>
      </c>
      <c r="AO1" s="6" t="s">
        <v>197</v>
      </c>
      <c r="AP1" s="6" t="s">
        <v>263</v>
      </c>
      <c r="AQ1" s="6" t="s">
        <v>199</v>
      </c>
      <c r="AR1" s="6" t="s">
        <v>264</v>
      </c>
      <c r="AS1" s="6" t="s">
        <v>265</v>
      </c>
      <c r="AT1" s="6" t="s">
        <v>266</v>
      </c>
      <c r="AU1" s="6" t="s">
        <v>267</v>
      </c>
      <c r="AV1" s="6" t="s">
        <v>268</v>
      </c>
      <c r="AW1" s="6" t="s">
        <v>269</v>
      </c>
      <c r="AX1" s="6" t="s">
        <v>270</v>
      </c>
      <c r="AY1" s="6" t="s">
        <v>271</v>
      </c>
      <c r="AZ1" s="6" t="s">
        <v>272</v>
      </c>
      <c r="BA1" s="6" t="s">
        <v>273</v>
      </c>
      <c r="BB1" s="6" t="s">
        <v>274</v>
      </c>
      <c r="BC1" s="6" t="s">
        <v>275</v>
      </c>
    </row>
    <row r="2" customFormat="false" ht="15" hidden="false" customHeight="false" outlineLevel="0" collapsed="false">
      <c r="A2" s="19" t="s">
        <v>276</v>
      </c>
      <c r="B2" s="19" t="s">
        <v>52</v>
      </c>
      <c r="C2" s="19" t="s">
        <v>151</v>
      </c>
      <c r="D2" s="19" t="s">
        <v>202</v>
      </c>
      <c r="E2" s="20" t="s">
        <v>277</v>
      </c>
      <c r="F2" s="19" t="s">
        <v>59</v>
      </c>
      <c r="G2" s="19"/>
      <c r="H2" s="19"/>
      <c r="I2" s="19"/>
      <c r="J2" s="19"/>
      <c r="K2" s="19"/>
      <c r="L2" s="21" t="n">
        <v>1</v>
      </c>
      <c r="M2" s="19"/>
      <c r="N2" s="19"/>
      <c r="O2" s="20" t="s">
        <v>278</v>
      </c>
      <c r="P2" s="19"/>
      <c r="Q2" s="19"/>
      <c r="R2" s="19"/>
      <c r="S2" s="19"/>
      <c r="T2" s="19"/>
      <c r="U2" s="19"/>
      <c r="V2" s="20" t="s">
        <v>279</v>
      </c>
      <c r="W2" s="22" t="str">
        <f aca="false">IFERROR(IF(INDEX(오퍼!$O$2:$O$500,MATCH($C2,오퍼!$A$2:$A$500,0))="","",INDEX(오퍼!$O$2:$O$500,MATCH($C2,오퍼!$A$2:$A$500,0))),"")</f>
        <v/>
      </c>
      <c r="X2" s="23" t="str">
        <f aca="false">IFERROR(IF(INDEX(오퍼!$P$2:$P$500,MATCH($C2,오퍼!$A$2:$A$500,0))="","",INDEX(오퍼!$P$2:$P$500,MATCH($C2,오퍼!$A$2:$A$500,0))),"")</f>
        <v>미확인</v>
      </c>
      <c r="Y2" s="23" t="str">
        <f aca="false">IFERROR(IF(INDEX(오퍼!$L$2:$L$500,MATCH($C2,오퍼!$A$2:$A$500,0))="","",INDEX(오퍼!$L$2:$L$500,MATCH($C2,오퍼!$A$2:$A$500,0))),"")</f>
        <v>CNY</v>
      </c>
      <c r="Z2" s="24" t="str">
        <f aca="false">IFERROR(IF(INDEX(배송시나리오!$F$2:$F$500,MATCH($D2,배송시나리오!$A$2:$A$500,0))="","",INDEX(배송시나리오!$F$2:$F$500,MATCH($D2,배송시나리오!$A$2:$A$500,0))),"")</f>
        <v/>
      </c>
      <c r="AA2" s="23" t="str">
        <f aca="false">IFERROR(IF(INDEX(배송시나리오!$G$2:$G$500,MATCH($D2,배송시나리오!$A$2:$A$500,0))="","",INDEX(배송시나리오!$G$2:$G$500,MATCH($D2,배송시나리오!$A$2:$A$500,0))),"")</f>
        <v>미확인</v>
      </c>
      <c r="AB2" s="23" t="str">
        <f aca="false">IFERROR(IF(INDEX(배송시나리오!$J$2:$J$500,MATCH($D2,배송시나리오!$A$2:$A$500,0))="","",INDEX(배송시나리오!$J$2:$J$500,MATCH($D2,배송시나리오!$A$2:$A$500,0))),"")</f>
        <v>판매자→한국고객</v>
      </c>
      <c r="AC2" s="22" t="str">
        <f aca="false">IFERROR(IF(INDEX(배송시나리오!$L$2:$L$500,MATCH($D2,배송시나리오!$A$2:$A$500,0))="","",INDEX(배송시나리오!$L$2:$L$500,MATCH($D2,배송시나리오!$A$2:$A$500,0))),"")</f>
        <v/>
      </c>
      <c r="AD2" s="23" t="str">
        <f aca="false">IFERROR(IF(INDEX(배송시나리오!$M$2:$M$500,MATCH($D2,배송시나리오!$A$2:$A$500,0))="","",INDEX(배송시나리오!$M$2:$M$500,MATCH($D2,배송시나리오!$A$2:$A$500,0))),"")</f>
        <v>CNY</v>
      </c>
      <c r="AE2" s="23" t="str">
        <f aca="false">IFERROR(IF(INDEX(배송시나리오!$N$2:$N$500,MATCH($D2,배송시나리오!$A$2:$A$500,0))="","",INDEX(배송시나리오!$N$2:$N$500,MATCH($D2,배송시나리오!$A$2:$A$500,0))),"")</f>
        <v>미확인</v>
      </c>
      <c r="AF2" s="23" t="str">
        <f aca="false">IFERROR(IF(INDEX(배송시나리오!$P$2:$P$500,MATCH($D2,배송시나리오!$A$2:$A$500,0))="","",INDEX(배송시나리오!$P$2:$P$500,MATCH($D2,배송시나리오!$A$2:$A$500,0))),"")</f>
        <v/>
      </c>
      <c r="AG2" s="22" t="str">
        <f aca="false">IFERROR(IF(INDEX(배송시나리오!$R$2:$R$500,MATCH($D2,배송시나리오!$A$2:$A$500,0))="","",INDEX(배송시나리오!$R$2:$R$500,MATCH($D2,배송시나리오!$A$2:$A$500,0))),"")</f>
        <v/>
      </c>
      <c r="AH2" s="23" t="str">
        <f aca="false">IFERROR(IF(INDEX(배송시나리오!$S$2:$S$500,MATCH($D2,배송시나리오!$A$2:$A$500,0))="","",INDEX(배송시나리오!$S$2:$S$500,MATCH($D2,배송시나리오!$A$2:$A$500,0))),"")</f>
        <v/>
      </c>
      <c r="AI2" s="23" t="str">
        <f aca="false">IFERROR(IF(INDEX(배송시나리오!$T$2:$T$500,MATCH($D2,배송시나리오!$A$2:$A$500,0))="","",INDEX(배송시나리오!$T$2:$T$500,MATCH($D2,배송시나리오!$A$2:$A$500,0))),"")</f>
        <v/>
      </c>
      <c r="AJ2" s="23" t="str">
        <f aca="false">IFERROR(IF(INDEX(배송시나리오!$V$2:$V$500,MATCH($D2,배송시나리오!$A$2:$A$500,0))="","",INDEX(배송시나리오!$V$2:$V$500,MATCH($D2,배송시나리오!$A$2:$A$500,0))),"")</f>
        <v/>
      </c>
      <c r="AK2" s="22" t="str">
        <f aca="false">IFERROR(IF(INDEX(배송시나리오!$X$2:$X$500,MATCH($D2,배송시나리오!$A$2:$A$500,0))="","",INDEX(배송시나리오!$X$2:$X$500,MATCH($D2,배송시나리오!$A$2:$A$500,0))),"")</f>
        <v/>
      </c>
      <c r="AL2" s="23" t="str">
        <f aca="false">IFERROR(IF(INDEX(배송시나리오!$Y$2:$Y$500,MATCH($D2,배송시나리오!$A$2:$A$500,0))="","",INDEX(배송시나리오!$Y$2:$Y$500,MATCH($D2,배송시나리오!$A$2:$A$500,0))),"")</f>
        <v/>
      </c>
      <c r="AM2" s="23" t="str">
        <f aca="false">IFERROR(IF(INDEX(배송시나리오!$Z$2:$Z$500,MATCH($D2,배송시나리오!$A$2:$A$500,0))="","",INDEX(배송시나리오!$Z$2:$Z$500,MATCH($D2,배송시나리오!$A$2:$A$500,0))),"")</f>
        <v/>
      </c>
      <c r="AN2" s="25" t="str">
        <f aca="false">IFERROR(IF(INDEX(배송시나리오!$AC$2:$AC$500,MATCH($D2,배송시나리오!$A$2:$A$500,0))="","",INDEX(배송시나리오!$AC$2:$AC$500,MATCH($D2,배송시나리오!$A$2:$A$500,0))),"")</f>
        <v/>
      </c>
      <c r="AO2" s="23" t="str">
        <f aca="false">IFERROR(IF(INDEX(배송시나리오!$AD$2:$AD$500,MATCH($D2,배송시나리오!$A$2:$A$500,0))="","",INDEX(배송시나리오!$AD$2:$AD$500,MATCH($D2,배송시나리오!$A$2:$A$500,0))),"")</f>
        <v>미확인</v>
      </c>
      <c r="AP2" s="25" t="str">
        <f aca="false">IFERROR(IF(INDEX(배송시나리오!$AE$2:$AE$500,MATCH($D2,배송시나리오!$A$2:$A$500,0))="","",INDEX(배송시나리오!$AE$2:$AE$500,MATCH($D2,배송시나리오!$A$2:$A$500,0))),"")</f>
        <v/>
      </c>
      <c r="AQ2" s="23" t="str">
        <f aca="false">IFERROR(IF(INDEX(배송시나리오!$AF$2:$AF$500,MATCH($D2,배송시나리오!$A$2:$A$500,0))="","",INDEX(배송시나리오!$AF$2:$AF$500,MATCH($D2,배송시나리오!$A$2:$A$500,0))),"")</f>
        <v>미확인</v>
      </c>
      <c r="AR2" s="24" t="n">
        <f aca="false">IF(OR($W2="",$X2="미확인"),1,0)+IF($G2="",1,0)+IF($J2="",1,0)+IF($K2="",1,0)+IF(OR($L2="",$L2=0),1,0)+IF($M2="",1,0)+IF($N2="",1,0)+IF($P2="",1,0)+IF($Q2="",1,0)+IF($R2="",1,0)+IF(OR($Z2="",$Z2=0,$AA2="미확인"),1,0)+IF($AB2="",0,IF(OR($AC2="",$AE2="미확인"),1,0))+IF($AF2="",0,IF(OR($AG2="",$AI2="미확인"),1,0))+IF($AJ2="",0,IF(OR($AK2="",$AM2="미확인"),1,0))+IF(OR($AN2="",$AO2="미확인"),1,0)+IF(OR($AP2="",$AQ2="미확인"),1,0)</f>
        <v>13</v>
      </c>
      <c r="AS2" s="24" t="n">
        <f aca="false">COUNTIF($X2,"추정")+COUNTIF($AA2,"추정")+COUNTIF($AE2,"추정")+COUNTIF($AI2,"추정")+COUNTIF($AM2,"추정")+COUNTIF($AO2,"추정")+COUNTIF($AQ2,"추정")</f>
        <v>0</v>
      </c>
      <c r="AT2" s="23" t="str">
        <f aca="false">IF($AR2&gt;0,"미확인 "&amp;$AR2&amp;"개",IF($AS2&gt;0,"추정 포함","확인"))</f>
        <v>미확인 13개</v>
      </c>
      <c r="AU2" s="25" t="str">
        <f aca="false">IF($AR2&gt;0,"미확인",$W2*IF($Y2="KRW",1,$G2)*(1+$P2))</f>
        <v>미확인</v>
      </c>
      <c r="AV2" s="25" t="str">
        <f aca="false">IF($AR2&gt;0,"미확인",(IF($AB2="",0,$AC2*IF($AD2="KRW",1,$G2))+IF($AF2="",0,$AG2*IF($AH2="KRW",1,$G2))+IF($AJ2="",0,$AK2*IF($AL2="KRW",1,$G2))+$AN2+$AP2)/$Z2)</f>
        <v>미확인</v>
      </c>
      <c r="AW2" s="25" t="str">
        <f aca="false">IF($AR2&gt;0,"미확인",$AU2+$AV2+$Q2)</f>
        <v>미확인</v>
      </c>
      <c r="AX2" s="25" t="str">
        <f aca="false">IF($AR2&gt;0,"미확인",$J2+$K2/$L2)</f>
        <v>미확인</v>
      </c>
      <c r="AY2" s="25" t="str">
        <f aca="false">IF($AR2&gt;0,"미확인",($J2+IF($O2="예",$K2/$L2,0))*($M2+$N2))</f>
        <v>미확인</v>
      </c>
      <c r="AZ2" s="25" t="str">
        <f aca="false">IF($AR2&gt;0,"미확인",$AX2-$AW2-$AY2-$J2*$R2)</f>
        <v>미확인</v>
      </c>
      <c r="BA2" s="26" t="str">
        <f aca="false">IF($AR2&gt;0,"미확인",IF($AX2=0,"미확인",$AZ2/$AX2))</f>
        <v>미확인</v>
      </c>
      <c r="BB2" s="25" t="str">
        <f aca="false">IF($AR2&gt;0,"미확인",IF(OR($S2="",$T2="",$U2="",$U2=0),"미확인",$AZ2-($S2+$T2)/$U2))</f>
        <v>미확인</v>
      </c>
      <c r="BC2" s="25" t="str">
        <f aca="false">IF($AR2&gt;0,"미확인",IF((1-$M2-$N2-$R2)&lt;=0,"미확인",($AW2+IF($O2="예",$K2/$L2,0)*($M2+$N2)-$K2/$L2)/(1-$M2-$N2-$R2)))</f>
        <v>미확인</v>
      </c>
    </row>
    <row r="3" customFormat="false" ht="15" hidden="false" customHeight="false" outlineLevel="0" collapsed="false">
      <c r="A3" s="19" t="s">
        <v>280</v>
      </c>
      <c r="B3" s="19" t="s">
        <v>52</v>
      </c>
      <c r="C3" s="19" t="s">
        <v>151</v>
      </c>
      <c r="D3" s="19" t="s">
        <v>208</v>
      </c>
      <c r="E3" s="20" t="s">
        <v>277</v>
      </c>
      <c r="F3" s="19" t="s">
        <v>59</v>
      </c>
      <c r="G3" s="19"/>
      <c r="H3" s="19"/>
      <c r="I3" s="19"/>
      <c r="J3" s="19"/>
      <c r="K3" s="19"/>
      <c r="L3" s="21" t="n">
        <v>1</v>
      </c>
      <c r="M3" s="19"/>
      <c r="N3" s="19"/>
      <c r="O3" s="20" t="s">
        <v>278</v>
      </c>
      <c r="P3" s="19"/>
      <c r="Q3" s="19"/>
      <c r="R3" s="19"/>
      <c r="S3" s="19"/>
      <c r="T3" s="19"/>
      <c r="U3" s="19"/>
      <c r="V3" s="20" t="s">
        <v>281</v>
      </c>
      <c r="W3" s="22" t="str">
        <f aca="false">IFERROR(IF(INDEX(오퍼!$O$2:$O$500,MATCH($C3,오퍼!$A$2:$A$500,0))="","",INDEX(오퍼!$O$2:$O$500,MATCH($C3,오퍼!$A$2:$A$500,0))),"")</f>
        <v/>
      </c>
      <c r="X3" s="23" t="str">
        <f aca="false">IFERROR(IF(INDEX(오퍼!$P$2:$P$500,MATCH($C3,오퍼!$A$2:$A$500,0))="","",INDEX(오퍼!$P$2:$P$500,MATCH($C3,오퍼!$A$2:$A$500,0))),"")</f>
        <v>미확인</v>
      </c>
      <c r="Y3" s="23" t="str">
        <f aca="false">IFERROR(IF(INDEX(오퍼!$L$2:$L$500,MATCH($C3,오퍼!$A$2:$A$500,0))="","",INDEX(오퍼!$L$2:$L$500,MATCH($C3,오퍼!$A$2:$A$500,0))),"")</f>
        <v>CNY</v>
      </c>
      <c r="Z3" s="24" t="n">
        <f aca="false">IFERROR(IF(INDEX(배송시나리오!$F$2:$F$500,MATCH($D3,배송시나리오!$A$2:$A$500,0))="","",INDEX(배송시나리오!$F$2:$F$500,MATCH($D3,배송시나리오!$A$2:$A$500,0))),"")</f>
        <v>4</v>
      </c>
      <c r="AA3" s="23" t="str">
        <f aca="false">IFERROR(IF(INDEX(배송시나리오!$G$2:$G$500,MATCH($D3,배송시나리오!$A$2:$A$500,0))="","",INDEX(배송시나리오!$G$2:$G$500,MATCH($D3,배송시나리오!$A$2:$A$500,0))),"")</f>
        <v>추정</v>
      </c>
      <c r="AB3" s="23" t="str">
        <f aca="false">IFERROR(IF(INDEX(배송시나리오!$J$2:$J$500,MATCH($D3,배송시나리오!$A$2:$A$500,0))="","",INDEX(배송시나리오!$J$2:$J$500,MATCH($D3,배송시나리오!$A$2:$A$500,0))),"")</f>
        <v>판매자→대행창고</v>
      </c>
      <c r="AC3" s="22" t="str">
        <f aca="false">IFERROR(IF(INDEX(배송시나리오!$L$2:$L$500,MATCH($D3,배송시나리오!$A$2:$A$500,0))="","",INDEX(배송시나리오!$L$2:$L$500,MATCH($D3,배송시나리오!$A$2:$A$500,0))),"")</f>
        <v/>
      </c>
      <c r="AD3" s="23" t="str">
        <f aca="false">IFERROR(IF(INDEX(배송시나리오!$M$2:$M$500,MATCH($D3,배송시나리오!$A$2:$A$500,0))="","",INDEX(배송시나리오!$M$2:$M$500,MATCH($D3,배송시나리오!$A$2:$A$500,0))),"")</f>
        <v>CNY</v>
      </c>
      <c r="AE3" s="23" t="str">
        <f aca="false">IFERROR(IF(INDEX(배송시나리오!$N$2:$N$500,MATCH($D3,배송시나리오!$A$2:$A$500,0))="","",INDEX(배송시나리오!$N$2:$N$500,MATCH($D3,배송시나리오!$A$2:$A$500,0))),"")</f>
        <v>미확인</v>
      </c>
      <c r="AF3" s="23" t="str">
        <f aca="false">IFERROR(IF(INDEX(배송시나리오!$P$2:$P$500,MATCH($D3,배송시나리오!$A$2:$A$500,0))="","",INDEX(배송시나리오!$P$2:$P$500,MATCH($D3,배송시나리오!$A$2:$A$500,0))),"")</f>
        <v>대행창고→한국통관</v>
      </c>
      <c r="AG3" s="22" t="str">
        <f aca="false">IFERROR(IF(INDEX(배송시나리오!$R$2:$R$500,MATCH($D3,배송시나리오!$A$2:$A$500,0))="","",INDEX(배송시나리오!$R$2:$R$500,MATCH($D3,배송시나리오!$A$2:$A$500,0))),"")</f>
        <v/>
      </c>
      <c r="AH3" s="23" t="str">
        <f aca="false">IFERROR(IF(INDEX(배송시나리오!$S$2:$S$500,MATCH($D3,배송시나리오!$A$2:$A$500,0))="","",INDEX(배송시나리오!$S$2:$S$500,MATCH($D3,배송시나리오!$A$2:$A$500,0))),"")</f>
        <v>CNY</v>
      </c>
      <c r="AI3" s="23" t="str">
        <f aca="false">IFERROR(IF(INDEX(배송시나리오!$T$2:$T$500,MATCH($D3,배송시나리오!$A$2:$A$500,0))="","",INDEX(배송시나리오!$T$2:$T$500,MATCH($D3,배송시나리오!$A$2:$A$500,0))),"")</f>
        <v>미확인</v>
      </c>
      <c r="AJ3" s="23" t="str">
        <f aca="false">IFERROR(IF(INDEX(배송시나리오!$V$2:$V$500,MATCH($D3,배송시나리오!$A$2:$A$500,0))="","",INDEX(배송시나리오!$V$2:$V$500,MATCH($D3,배송시나리오!$A$2:$A$500,0))),"")</f>
        <v>한국통관→고객</v>
      </c>
      <c r="AK3" s="22" t="str">
        <f aca="false">IFERROR(IF(INDEX(배송시나리오!$X$2:$X$500,MATCH($D3,배송시나리오!$A$2:$A$500,0))="","",INDEX(배송시나리오!$X$2:$X$500,MATCH($D3,배송시나리오!$A$2:$A$500,0))),"")</f>
        <v/>
      </c>
      <c r="AL3" s="23" t="str">
        <f aca="false">IFERROR(IF(INDEX(배송시나리오!$Y$2:$Y$500,MATCH($D3,배송시나리오!$A$2:$A$500,0))="","",INDEX(배송시나리오!$Y$2:$Y$500,MATCH($D3,배송시나리오!$A$2:$A$500,0))),"")</f>
        <v>KRW</v>
      </c>
      <c r="AM3" s="23" t="str">
        <f aca="false">IFERROR(IF(INDEX(배송시나리오!$Z$2:$Z$500,MATCH($D3,배송시나리오!$A$2:$A$500,0))="","",INDEX(배송시나리오!$Z$2:$Z$500,MATCH($D3,배송시나리오!$A$2:$A$500,0))),"")</f>
        <v>미확인</v>
      </c>
      <c r="AN3" s="25" t="str">
        <f aca="false">IFERROR(IF(INDEX(배송시나리오!$AC$2:$AC$500,MATCH($D3,배송시나리오!$A$2:$A$500,0))="","",INDEX(배송시나리오!$AC$2:$AC$500,MATCH($D3,배송시나리오!$A$2:$A$500,0))),"")</f>
        <v/>
      </c>
      <c r="AO3" s="23" t="str">
        <f aca="false">IFERROR(IF(INDEX(배송시나리오!$AD$2:$AD$500,MATCH($D3,배송시나리오!$A$2:$A$500,0))="","",INDEX(배송시나리오!$AD$2:$AD$500,MATCH($D3,배송시나리오!$A$2:$A$500,0))),"")</f>
        <v>미확인</v>
      </c>
      <c r="AP3" s="25" t="str">
        <f aca="false">IFERROR(IF(INDEX(배송시나리오!$AE$2:$AE$500,MATCH($D3,배송시나리오!$A$2:$A$500,0))="","",INDEX(배송시나리오!$AE$2:$AE$500,MATCH($D3,배송시나리오!$A$2:$A$500,0))),"")</f>
        <v/>
      </c>
      <c r="AQ3" s="23" t="str">
        <f aca="false">IFERROR(IF(INDEX(배송시나리오!$AF$2:$AF$500,MATCH($D3,배송시나리오!$A$2:$A$500,0))="","",INDEX(배송시나리오!$AF$2:$AF$500,MATCH($D3,배송시나리오!$A$2:$A$500,0))),"")</f>
        <v>미확인</v>
      </c>
      <c r="AR3" s="24" t="n">
        <f aca="false">IF(OR($W3="",$X3="미확인"),1,0)+IF($G3="",1,0)+IF($J3="",1,0)+IF($K3="",1,0)+IF(OR($L3="",$L3=0),1,0)+IF($M3="",1,0)+IF($N3="",1,0)+IF($P3="",1,0)+IF($Q3="",1,0)+IF($R3="",1,0)+IF(OR($Z3="",$Z3=0,$AA3="미확인"),1,0)+IF($AB3="",0,IF(OR($AC3="",$AE3="미확인"),1,0))+IF($AF3="",0,IF(OR($AG3="",$AI3="미확인"),1,0))+IF($AJ3="",0,IF(OR($AK3="",$AM3="미확인"),1,0))+IF(OR($AN3="",$AO3="미확인"),1,0)+IF(OR($AP3="",$AQ3="미확인"),1,0)</f>
        <v>14</v>
      </c>
      <c r="AS3" s="24" t="n">
        <f aca="false">COUNTIF($X3,"추정")+COUNTIF($AA3,"추정")+COUNTIF($AE3,"추정")+COUNTIF($AI3,"추정")+COUNTIF($AM3,"추정")+COUNTIF($AO3,"추정")+COUNTIF($AQ3,"추정")</f>
        <v>1</v>
      </c>
      <c r="AT3" s="23" t="str">
        <f aca="false">IF($AR3&gt;0,"미확인 "&amp;$AR3&amp;"개",IF($AS3&gt;0,"추정 포함","확인"))</f>
        <v>미확인 14개</v>
      </c>
      <c r="AU3" s="25" t="str">
        <f aca="false">IF($AR3&gt;0,"미확인",$W3*IF($Y3="KRW",1,$G3)*(1+$P3))</f>
        <v>미확인</v>
      </c>
      <c r="AV3" s="25" t="str">
        <f aca="false">IF($AR3&gt;0,"미확인",(IF($AB3="",0,$AC3*IF($AD3="KRW",1,$G3))+IF($AF3="",0,$AG3*IF($AH3="KRW",1,$G3))+IF($AJ3="",0,$AK3*IF($AL3="KRW",1,$G3))+$AN3+$AP3)/$Z3)</f>
        <v>미확인</v>
      </c>
      <c r="AW3" s="25" t="str">
        <f aca="false">IF($AR3&gt;0,"미확인",$AU3+$AV3+$Q3)</f>
        <v>미확인</v>
      </c>
      <c r="AX3" s="25" t="str">
        <f aca="false">IF($AR3&gt;0,"미확인",$J3+$K3/$L3)</f>
        <v>미확인</v>
      </c>
      <c r="AY3" s="25" t="str">
        <f aca="false">IF($AR3&gt;0,"미확인",($J3+IF($O3="예",$K3/$L3,0))*($M3+$N3))</f>
        <v>미확인</v>
      </c>
      <c r="AZ3" s="25" t="str">
        <f aca="false">IF($AR3&gt;0,"미확인",$AX3-$AW3-$AY3-$J3*$R3)</f>
        <v>미확인</v>
      </c>
      <c r="BA3" s="26" t="str">
        <f aca="false">IF($AR3&gt;0,"미확인",IF($AX3=0,"미확인",$AZ3/$AX3))</f>
        <v>미확인</v>
      </c>
      <c r="BB3" s="25" t="str">
        <f aca="false">IF($AR3&gt;0,"미확인",IF(OR($S3="",$T3="",$U3="",$U3=0),"미확인",$AZ3-($S3+$T3)/$U3))</f>
        <v>미확인</v>
      </c>
      <c r="BC3" s="25" t="str">
        <f aca="false">IF($AR3&gt;0,"미확인",IF((1-$M3-$N3-$R3)&lt;=0,"미확인",($AW3+IF($O3="예",$K3/$L3,0)*($M3+$N3)-$K3/$L3)/(1-$M3-$N3-$R3)))</f>
        <v>미확인</v>
      </c>
    </row>
    <row r="4" customFormat="false" ht="15" hidden="false" customHeight="false" outlineLevel="0" collapsed="false">
      <c r="A4" s="27" t="s">
        <v>282</v>
      </c>
      <c r="B4" s="27" t="s">
        <v>52</v>
      </c>
      <c r="C4" s="27" t="s">
        <v>162</v>
      </c>
      <c r="D4" s="27" t="s">
        <v>220</v>
      </c>
      <c r="E4" s="28" t="s">
        <v>277</v>
      </c>
      <c r="F4" s="27" t="s">
        <v>115</v>
      </c>
      <c r="G4" s="29" t="n">
        <v>195</v>
      </c>
      <c r="H4" s="27" t="s">
        <v>115</v>
      </c>
      <c r="I4" s="27" t="s">
        <v>283</v>
      </c>
      <c r="J4" s="30" t="n">
        <v>22000</v>
      </c>
      <c r="K4" s="30" t="n">
        <v>5000</v>
      </c>
      <c r="L4" s="31" t="n">
        <v>1</v>
      </c>
      <c r="M4" s="32" t="n">
        <v>0.055</v>
      </c>
      <c r="N4" s="32" t="n">
        <v>0.033</v>
      </c>
      <c r="O4" s="28" t="s">
        <v>278</v>
      </c>
      <c r="P4" s="32" t="n">
        <v>0.02</v>
      </c>
      <c r="Q4" s="30" t="n">
        <v>500</v>
      </c>
      <c r="R4" s="32" t="n">
        <v>0.03</v>
      </c>
      <c r="S4" s="30" t="n">
        <v>100000</v>
      </c>
      <c r="T4" s="30" t="n">
        <v>30000</v>
      </c>
      <c r="U4" s="31" t="n">
        <v>50</v>
      </c>
      <c r="V4" s="28" t="s">
        <v>284</v>
      </c>
      <c r="W4" s="22" t="n">
        <f aca="false">IFERROR(IF(INDEX(오퍼!$O$2:$O$500,MATCH($C4,오퍼!$A$2:$A$500,0))="","",INDEX(오퍼!$O$2:$O$500,MATCH($C4,오퍼!$A$2:$A$500,0))),"")</f>
        <v>59.9</v>
      </c>
      <c r="X4" s="23" t="str">
        <f aca="false">IFERROR(IF(INDEX(오퍼!$P$2:$P$500,MATCH($C4,오퍼!$A$2:$A$500,0))="","",INDEX(오퍼!$P$2:$P$500,MATCH($C4,오퍼!$A$2:$A$500,0))),"")</f>
        <v>추정</v>
      </c>
      <c r="Y4" s="23" t="str">
        <f aca="false">IFERROR(IF(INDEX(오퍼!$L$2:$L$500,MATCH($C4,오퍼!$A$2:$A$500,0))="","",INDEX(오퍼!$L$2:$L$500,MATCH($C4,오퍼!$A$2:$A$500,0))),"")</f>
        <v>CNY</v>
      </c>
      <c r="Z4" s="24" t="n">
        <f aca="false">IFERROR(IF(INDEX(배송시나리오!$F$2:$F$500,MATCH($D4,배송시나리오!$A$2:$A$500,0))="","",INDEX(배송시나리오!$F$2:$F$500,MATCH($D4,배송시나리오!$A$2:$A$500,0))),"")</f>
        <v>4</v>
      </c>
      <c r="AA4" s="23" t="str">
        <f aca="false">IFERROR(IF(INDEX(배송시나리오!$G$2:$G$500,MATCH($D4,배송시나리오!$A$2:$A$500,0))="","",INDEX(배송시나리오!$G$2:$G$500,MATCH($D4,배송시나리오!$A$2:$A$500,0))),"")</f>
        <v>추정</v>
      </c>
      <c r="AB4" s="23" t="str">
        <f aca="false">IFERROR(IF(INDEX(배송시나리오!$J$2:$J$500,MATCH($D4,배송시나리오!$A$2:$A$500,0))="","",INDEX(배송시나리오!$J$2:$J$500,MATCH($D4,배송시나리오!$A$2:$A$500,0))),"")</f>
        <v>판매자→대행창고</v>
      </c>
      <c r="AC4" s="22" t="n">
        <f aca="false">IFERROR(IF(INDEX(배송시나리오!$L$2:$L$500,MATCH($D4,배송시나리오!$A$2:$A$500,0))="","",INDEX(배송시나리오!$L$2:$L$500,MATCH($D4,배송시나리오!$A$2:$A$500,0))),"")</f>
        <v>0</v>
      </c>
      <c r="AD4" s="23" t="str">
        <f aca="false">IFERROR(IF(INDEX(배송시나리오!$M$2:$M$500,MATCH($D4,배송시나리오!$A$2:$A$500,0))="","",INDEX(배송시나리오!$M$2:$M$500,MATCH($D4,배송시나리오!$A$2:$A$500,0))),"")</f>
        <v>CNY</v>
      </c>
      <c r="AE4" s="23" t="str">
        <f aca="false">IFERROR(IF(INDEX(배송시나리오!$N$2:$N$500,MATCH($D4,배송시나리오!$A$2:$A$500,0))="","",INDEX(배송시나리오!$N$2:$N$500,MATCH($D4,배송시나리오!$A$2:$A$500,0))),"")</f>
        <v>추정</v>
      </c>
      <c r="AF4" s="23" t="str">
        <f aca="false">IFERROR(IF(INDEX(배송시나리오!$P$2:$P$500,MATCH($D4,배송시나리오!$A$2:$A$500,0))="","",INDEX(배송시나리오!$P$2:$P$500,MATCH($D4,배송시나리오!$A$2:$A$500,0))),"")</f>
        <v>대행창고→한국통관</v>
      </c>
      <c r="AG4" s="22" t="n">
        <f aca="false">IFERROR(IF(INDEX(배송시나리오!$R$2:$R$500,MATCH($D4,배송시나리오!$A$2:$A$500,0))="","",INDEX(배송시나리오!$R$2:$R$500,MATCH($D4,배송시나리오!$A$2:$A$500,0))),"")</f>
        <v>45</v>
      </c>
      <c r="AH4" s="23" t="str">
        <f aca="false">IFERROR(IF(INDEX(배송시나리오!$S$2:$S$500,MATCH($D4,배송시나리오!$A$2:$A$500,0))="","",INDEX(배송시나리오!$S$2:$S$500,MATCH($D4,배송시나리오!$A$2:$A$500,0))),"")</f>
        <v>CNY</v>
      </c>
      <c r="AI4" s="23" t="str">
        <f aca="false">IFERROR(IF(INDEX(배송시나리오!$T$2:$T$500,MATCH($D4,배송시나리오!$A$2:$A$500,0))="","",INDEX(배송시나리오!$T$2:$T$500,MATCH($D4,배송시나리오!$A$2:$A$500,0))),"")</f>
        <v>추정</v>
      </c>
      <c r="AJ4" s="23" t="str">
        <f aca="false">IFERROR(IF(INDEX(배송시나리오!$V$2:$V$500,MATCH($D4,배송시나리오!$A$2:$A$500,0))="","",INDEX(배송시나리오!$V$2:$V$500,MATCH($D4,배송시나리오!$A$2:$A$500,0))),"")</f>
        <v>한국통관→고객</v>
      </c>
      <c r="AK4" s="22" t="n">
        <f aca="false">IFERROR(IF(INDEX(배송시나리오!$X$2:$X$500,MATCH($D4,배송시나리오!$A$2:$A$500,0))="","",INDEX(배송시나리오!$X$2:$X$500,MATCH($D4,배송시나리오!$A$2:$A$500,0))),"")</f>
        <v>0</v>
      </c>
      <c r="AL4" s="23" t="str">
        <f aca="false">IFERROR(IF(INDEX(배송시나리오!$Y$2:$Y$500,MATCH($D4,배송시나리오!$A$2:$A$500,0))="","",INDEX(배송시나리오!$Y$2:$Y$500,MATCH($D4,배송시나리오!$A$2:$A$500,0))),"")</f>
        <v>KRW</v>
      </c>
      <c r="AM4" s="23" t="str">
        <f aca="false">IFERROR(IF(INDEX(배송시나리오!$Z$2:$Z$500,MATCH($D4,배송시나리오!$A$2:$A$500,0))="","",INDEX(배송시나리오!$Z$2:$Z$500,MATCH($D4,배송시나리오!$A$2:$A$500,0))),"")</f>
        <v>확인</v>
      </c>
      <c r="AN4" s="25" t="n">
        <f aca="false">IFERROR(IF(INDEX(배송시나리오!$AC$2:$AC$500,MATCH($D4,배송시나리오!$A$2:$A$500,0))="","",INDEX(배송시나리오!$AC$2:$AC$500,MATCH($D4,배송시나리오!$A$2:$A$500,0))),"")</f>
        <v>0</v>
      </c>
      <c r="AO4" s="23" t="str">
        <f aca="false">IFERROR(IF(INDEX(배송시나리오!$AD$2:$AD$500,MATCH($D4,배송시나리오!$A$2:$A$500,0))="","",INDEX(배송시나리오!$AD$2:$AD$500,MATCH($D4,배송시나리오!$A$2:$A$500,0))),"")</f>
        <v>추정</v>
      </c>
      <c r="AP4" s="25" t="n">
        <f aca="false">IFERROR(IF(INDEX(배송시나리오!$AE$2:$AE$500,MATCH($D4,배송시나리오!$A$2:$A$500,0))="","",INDEX(배송시나리오!$AE$2:$AE$500,MATCH($D4,배송시나리오!$A$2:$A$500,0))),"")</f>
        <v>0</v>
      </c>
      <c r="AQ4" s="23" t="str">
        <f aca="false">IFERROR(IF(INDEX(배송시나리오!$AF$2:$AF$500,MATCH($D4,배송시나리오!$A$2:$A$500,0))="","",INDEX(배송시나리오!$AF$2:$AF$500,MATCH($D4,배송시나리오!$A$2:$A$500,0))),"")</f>
        <v>추정</v>
      </c>
      <c r="AR4" s="24" t="n">
        <f aca="false">IF(OR($W4="",$X4="미확인"),1,0)+IF($G4="",1,0)+IF($J4="",1,0)+IF($K4="",1,0)+IF(OR($L4="",$L4=0),1,0)+IF($M4="",1,0)+IF($N4="",1,0)+IF($P4="",1,0)+IF($Q4="",1,0)+IF($R4="",1,0)+IF(OR($Z4="",$Z4=0,$AA4="미확인"),1,0)+IF($AB4="",0,IF(OR($AC4="",$AE4="미확인"),1,0))+IF($AF4="",0,IF(OR($AG4="",$AI4="미확인"),1,0))+IF($AJ4="",0,IF(OR($AK4="",$AM4="미확인"),1,0))+IF(OR($AN4="",$AO4="미확인"),1,0)+IF(OR($AP4="",$AQ4="미확인"),1,0)</f>
        <v>0</v>
      </c>
      <c r="AS4" s="24" t="n">
        <f aca="false">COUNTIF($X4,"추정")+COUNTIF($AA4,"추정")+COUNTIF($AE4,"추정")+COUNTIF($AI4,"추정")+COUNTIF($AM4,"추정")+COUNTIF($AO4,"추정")+COUNTIF($AQ4,"추정")</f>
        <v>6</v>
      </c>
      <c r="AT4" s="23" t="str">
        <f aca="false">IF($AR4&gt;0,"미확인 "&amp;$AR4&amp;"개",IF($AS4&gt;0,"추정 포함","확인"))</f>
        <v>추정 포함</v>
      </c>
      <c r="AU4" s="25" t="n">
        <f aca="false">IF($AR4&gt;0,"미확인",$W4*IF($Y4="KRW",1,$G4)*(1+$P4))</f>
        <v>11914.11</v>
      </c>
      <c r="AV4" s="25" t="n">
        <f aca="false">IF($AR4&gt;0,"미확인",(IF($AB4="",0,$AC4*IF($AD4="KRW",1,$G4))+IF($AF4="",0,$AG4*IF($AH4="KRW",1,$G4))+IF($AJ4="",0,$AK4*IF($AL4="KRW",1,$G4))+$AN4+$AP4)/$Z4)</f>
        <v>2193.75</v>
      </c>
      <c r="AW4" s="25" t="n">
        <f aca="false">IF($AR4&gt;0,"미확인",$AU4+$AV4+$Q4)</f>
        <v>14607.86</v>
      </c>
      <c r="AX4" s="25" t="n">
        <f aca="false">IF($AR4&gt;0,"미확인",$J4+$K4/$L4)</f>
        <v>27000</v>
      </c>
      <c r="AY4" s="25" t="n">
        <f aca="false">IF($AR4&gt;0,"미확인",($J4+IF($O4="예",$K4/$L4,0))*($M4+$N4))</f>
        <v>2376</v>
      </c>
      <c r="AZ4" s="25" t="n">
        <f aca="false">IF($AR4&gt;0,"미확인",$AX4-$AW4-$AY4-$J4*$R4)</f>
        <v>9356.14</v>
      </c>
      <c r="BA4" s="26" t="n">
        <f aca="false">IF($AR4&gt;0,"미확인",IF($AX4=0,"미확인",$AZ4/$AX4))</f>
        <v>0.346523703703704</v>
      </c>
      <c r="BB4" s="25" t="n">
        <f aca="false">IF($AR4&gt;0,"미확인",IF(OR($S4="",$T4="",$U4="",$U4=0),"미확인",$AZ4-($S4+$T4)/$U4))</f>
        <v>6756.14</v>
      </c>
      <c r="BC4" s="25" t="n">
        <f aca="false">IF($AR4&gt;0,"미확인",IF((1-$M4-$N4-$R4)&lt;=0,"미확인",($AW4+IF($O4="예",$K4/$L4,0)*($M4+$N4)-$K4/$L4)/(1-$M4-$N4-$R4)))</f>
        <v>11392.1315192744</v>
      </c>
    </row>
  </sheetData>
  <dataValidations count="2">
    <dataValidation allowBlank="true" error="목록에 있는 값만 입력할 수 있습니다" errorStyle="stop" errorTitle="목록에서 선택" operator="between" showDropDown="false" showErrorMessage="true" showInputMessage="false" sqref="E2:E500" type="list">
      <formula1>"스마트스토어,카페24,쿠팡,기타"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O2:O500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6" min="5" style="0" width="1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6" t="s">
        <v>285</v>
      </c>
      <c r="B1" s="6" t="s">
        <v>286</v>
      </c>
      <c r="C1" s="12" t="s">
        <v>287</v>
      </c>
      <c r="D1" s="6" t="s">
        <v>28</v>
      </c>
      <c r="E1" s="6" t="s">
        <v>236</v>
      </c>
      <c r="F1" s="6" t="s">
        <v>288</v>
      </c>
      <c r="G1" s="6" t="s">
        <v>289</v>
      </c>
      <c r="H1" s="6" t="s">
        <v>290</v>
      </c>
      <c r="I1" s="6" t="s">
        <v>291</v>
      </c>
      <c r="J1" s="6" t="s">
        <v>292</v>
      </c>
      <c r="K1" s="6" t="s">
        <v>293</v>
      </c>
      <c r="L1" s="6" t="s">
        <v>140</v>
      </c>
      <c r="M1" s="6" t="s">
        <v>42</v>
      </c>
    </row>
    <row r="2" customFormat="false" ht="15" hidden="false" customHeight="false" outlineLevel="0" collapsed="false">
      <c r="A2" s="7" t="s">
        <v>294</v>
      </c>
      <c r="B2" s="8" t="s">
        <v>295</v>
      </c>
      <c r="C2" s="7" t="s">
        <v>58</v>
      </c>
      <c r="D2" s="8" t="s">
        <v>296</v>
      </c>
      <c r="E2" s="9" t="n">
        <v>22000</v>
      </c>
      <c r="F2" s="9" t="n">
        <v>30000</v>
      </c>
      <c r="G2" s="7" t="s">
        <v>297</v>
      </c>
      <c r="H2" s="7" t="s">
        <v>298</v>
      </c>
      <c r="I2" s="8" t="s">
        <v>299</v>
      </c>
      <c r="J2" s="7" t="s">
        <v>300</v>
      </c>
      <c r="K2" s="7" t="s">
        <v>59</v>
      </c>
      <c r="L2" s="7"/>
      <c r="M2" s="8" t="s">
        <v>301</v>
      </c>
    </row>
    <row r="3" customFormat="false" ht="15" hidden="false" customHeight="false" outlineLevel="0" collapsed="false">
      <c r="A3" s="7" t="s">
        <v>302</v>
      </c>
      <c r="B3" s="8" t="s">
        <v>295</v>
      </c>
      <c r="C3" s="7" t="s">
        <v>303</v>
      </c>
      <c r="D3" s="7" t="s">
        <v>304</v>
      </c>
      <c r="E3" s="7"/>
      <c r="F3" s="7"/>
      <c r="G3" s="7"/>
      <c r="H3" s="7"/>
      <c r="I3" s="7"/>
      <c r="J3" s="7"/>
      <c r="K3" s="7" t="s">
        <v>59</v>
      </c>
      <c r="L3" s="7"/>
      <c r="M3" s="8" t="s">
        <v>305</v>
      </c>
    </row>
    <row r="4" customFormat="false" ht="15" hidden="false" customHeight="false" outlineLevel="0" collapsed="false">
      <c r="A4" s="7" t="s">
        <v>306</v>
      </c>
      <c r="B4" s="8" t="s">
        <v>295</v>
      </c>
      <c r="C4" s="7" t="s">
        <v>50</v>
      </c>
      <c r="D4" s="8" t="s">
        <v>44</v>
      </c>
      <c r="E4" s="9" t="n">
        <v>25000</v>
      </c>
      <c r="F4" s="7"/>
      <c r="G4" s="7"/>
      <c r="H4" s="7"/>
      <c r="I4" s="7"/>
      <c r="J4" s="7"/>
      <c r="K4" s="7"/>
      <c r="L4" s="7"/>
      <c r="M4" s="8" t="s">
        <v>307</v>
      </c>
    </row>
    <row r="5" customFormat="false" ht="15" hidden="false" customHeight="false" outlineLevel="0" collapsed="false">
      <c r="A5" s="7" t="s">
        <v>308</v>
      </c>
      <c r="B5" s="8" t="s">
        <v>295</v>
      </c>
      <c r="C5" s="7" t="s">
        <v>63</v>
      </c>
      <c r="D5" s="8" t="s">
        <v>62</v>
      </c>
      <c r="E5" s="9" t="n">
        <v>31500</v>
      </c>
      <c r="F5" s="7"/>
      <c r="G5" s="7"/>
      <c r="H5" s="7"/>
      <c r="I5" s="7"/>
      <c r="J5" s="7"/>
      <c r="K5" s="7"/>
      <c r="L5" s="7"/>
      <c r="M5" s="8" t="s">
        <v>64</v>
      </c>
    </row>
    <row r="6" customFormat="false" ht="15" hidden="false" customHeight="false" outlineLevel="0" collapsed="false">
      <c r="A6" s="7" t="s">
        <v>309</v>
      </c>
      <c r="B6" s="8" t="s">
        <v>295</v>
      </c>
      <c r="C6" s="7" t="s">
        <v>67</v>
      </c>
      <c r="D6" s="8" t="s">
        <v>66</v>
      </c>
      <c r="E6" s="9" t="n">
        <v>22500</v>
      </c>
      <c r="F6" s="7"/>
      <c r="G6" s="7"/>
      <c r="H6" s="7"/>
      <c r="I6" s="8" t="s">
        <v>68</v>
      </c>
      <c r="J6" s="7"/>
      <c r="K6" s="7"/>
      <c r="L6" s="7"/>
      <c r="M6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4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1" min="11" style="0" width="36"/>
    <col collapsed="false" customWidth="true" hidden="false" outlineLevel="0" max="13" min="12" style="0" width="12"/>
  </cols>
  <sheetData>
    <row r="1" customFormat="false" ht="30" hidden="false" customHeight="true" outlineLevel="0" collapsed="false">
      <c r="A1" s="6" t="s">
        <v>310</v>
      </c>
      <c r="B1" s="6" t="s">
        <v>29</v>
      </c>
      <c r="C1" s="6" t="s">
        <v>30</v>
      </c>
      <c r="D1" s="6" t="s">
        <v>311</v>
      </c>
      <c r="E1" s="6" t="s">
        <v>312</v>
      </c>
      <c r="F1" s="6" t="s">
        <v>313</v>
      </c>
      <c r="G1" s="6" t="s">
        <v>33</v>
      </c>
      <c r="H1" s="6" t="s">
        <v>314</v>
      </c>
      <c r="I1" s="6" t="s">
        <v>315</v>
      </c>
      <c r="J1" s="6" t="s">
        <v>316</v>
      </c>
      <c r="K1" s="6" t="s">
        <v>25</v>
      </c>
      <c r="L1" s="6" t="s">
        <v>141</v>
      </c>
      <c r="M1" s="6" t="s">
        <v>142</v>
      </c>
    </row>
    <row r="2" customFormat="false" ht="15" hidden="false" customHeight="false" outlineLevel="0" collapsed="false">
      <c r="A2" s="7" t="s">
        <v>49</v>
      </c>
      <c r="B2" s="8" t="s">
        <v>45</v>
      </c>
      <c r="C2" s="8" t="s">
        <v>46</v>
      </c>
      <c r="D2" s="7" t="s">
        <v>317</v>
      </c>
      <c r="E2" s="8" t="s">
        <v>318</v>
      </c>
      <c r="F2" s="8" t="s">
        <v>319</v>
      </c>
      <c r="G2" s="8" t="s">
        <v>89</v>
      </c>
      <c r="H2" s="8" t="s">
        <v>89</v>
      </c>
      <c r="I2" s="7"/>
      <c r="J2" s="8" t="s">
        <v>320</v>
      </c>
      <c r="K2" s="8" t="s">
        <v>321</v>
      </c>
      <c r="L2" s="7"/>
      <c r="M2" s="7"/>
    </row>
    <row r="3" customFormat="false" ht="15" hidden="false" customHeight="false" outlineLevel="0" collapsed="false">
      <c r="A3" s="7" t="s">
        <v>49</v>
      </c>
      <c r="B3" s="8" t="s">
        <v>45</v>
      </c>
      <c r="C3" s="8" t="s">
        <v>46</v>
      </c>
      <c r="D3" s="7" t="s">
        <v>322</v>
      </c>
      <c r="E3" s="7" t="s">
        <v>323</v>
      </c>
      <c r="F3" s="8" t="s">
        <v>324</v>
      </c>
      <c r="G3" s="8" t="s">
        <v>225</v>
      </c>
      <c r="H3" s="8" t="s">
        <v>89</v>
      </c>
      <c r="I3" s="7"/>
      <c r="J3" s="8" t="s">
        <v>320</v>
      </c>
      <c r="K3" s="8" t="s">
        <v>325</v>
      </c>
      <c r="L3" s="7" t="s">
        <v>59</v>
      </c>
      <c r="M3" s="7" t="s">
        <v>326</v>
      </c>
    </row>
    <row r="4" customFormat="false" ht="15" hidden="false" customHeight="false" outlineLevel="0" collapsed="false">
      <c r="A4" s="7" t="s">
        <v>49</v>
      </c>
      <c r="B4" s="8" t="s">
        <v>45</v>
      </c>
      <c r="C4" s="8" t="s">
        <v>46</v>
      </c>
      <c r="D4" s="7" t="s">
        <v>327</v>
      </c>
      <c r="E4" s="8" t="s">
        <v>328</v>
      </c>
      <c r="F4" s="8" t="s">
        <v>329</v>
      </c>
      <c r="G4" s="8" t="s">
        <v>89</v>
      </c>
      <c r="H4" s="8" t="s">
        <v>89</v>
      </c>
      <c r="I4" s="7"/>
      <c r="J4" s="8" t="s">
        <v>320</v>
      </c>
      <c r="K4" s="7" t="s">
        <v>330</v>
      </c>
      <c r="L4" s="7"/>
      <c r="M4" s="7"/>
    </row>
    <row r="5" customFormat="false" ht="15" hidden="false" customHeight="false" outlineLevel="0" collapsed="false">
      <c r="A5" s="7" t="s">
        <v>49</v>
      </c>
      <c r="B5" s="8" t="s">
        <v>45</v>
      </c>
      <c r="C5" s="8" t="s">
        <v>46</v>
      </c>
      <c r="D5" s="7" t="s">
        <v>331</v>
      </c>
      <c r="E5" s="8" t="s">
        <v>332</v>
      </c>
      <c r="F5" s="8" t="s">
        <v>333</v>
      </c>
      <c r="G5" s="8" t="s">
        <v>89</v>
      </c>
      <c r="H5" s="8" t="s">
        <v>89</v>
      </c>
      <c r="I5" s="7"/>
      <c r="J5" s="8" t="s">
        <v>334</v>
      </c>
      <c r="K5" s="8" t="s">
        <v>335</v>
      </c>
      <c r="L5" s="7"/>
      <c r="M5" s="7"/>
    </row>
    <row r="6" customFormat="false" ht="15" hidden="false" customHeight="false" outlineLevel="0" collapsed="false">
      <c r="A6" s="7" t="s">
        <v>49</v>
      </c>
      <c r="B6" s="8" t="s">
        <v>45</v>
      </c>
      <c r="C6" s="8" t="s">
        <v>46</v>
      </c>
      <c r="D6" s="7" t="s">
        <v>336</v>
      </c>
      <c r="E6" s="8" t="s">
        <v>337</v>
      </c>
      <c r="F6" s="8" t="s">
        <v>89</v>
      </c>
      <c r="G6" s="8" t="s">
        <v>89</v>
      </c>
      <c r="H6" s="8" t="s">
        <v>89</v>
      </c>
      <c r="I6" s="7"/>
      <c r="J6" s="8" t="s">
        <v>320</v>
      </c>
      <c r="K6" s="8" t="s">
        <v>338</v>
      </c>
      <c r="L6" s="7"/>
      <c r="M6" s="7"/>
    </row>
    <row r="7" customFormat="false" ht="15" hidden="false" customHeight="false" outlineLevel="0" collapsed="false">
      <c r="A7" s="7" t="s">
        <v>49</v>
      </c>
      <c r="B7" s="8" t="s">
        <v>45</v>
      </c>
      <c r="C7" s="8" t="s">
        <v>46</v>
      </c>
      <c r="D7" s="7" t="s">
        <v>339</v>
      </c>
      <c r="E7" s="8" t="s">
        <v>340</v>
      </c>
      <c r="F7" s="8" t="s">
        <v>89</v>
      </c>
      <c r="G7" s="8" t="s">
        <v>89</v>
      </c>
      <c r="H7" s="8" t="s">
        <v>89</v>
      </c>
      <c r="I7" s="7"/>
      <c r="J7" s="8" t="s">
        <v>334</v>
      </c>
      <c r="K7" s="7" t="s">
        <v>341</v>
      </c>
      <c r="L7" s="7"/>
      <c r="M7" s="7"/>
    </row>
    <row r="8" customFormat="false" ht="15" hidden="false" customHeight="false" outlineLevel="0" collapsed="false">
      <c r="A8" s="7" t="s">
        <v>49</v>
      </c>
      <c r="B8" s="8" t="s">
        <v>45</v>
      </c>
      <c r="C8" s="8" t="s">
        <v>46</v>
      </c>
      <c r="D8" s="7" t="s">
        <v>342</v>
      </c>
      <c r="E8" s="8" t="s">
        <v>343</v>
      </c>
      <c r="F8" s="8" t="s">
        <v>89</v>
      </c>
      <c r="G8" s="8" t="s">
        <v>89</v>
      </c>
      <c r="H8" s="8" t="s">
        <v>89</v>
      </c>
      <c r="I8" s="7"/>
      <c r="J8" s="8" t="s">
        <v>320</v>
      </c>
      <c r="K8" s="8" t="s">
        <v>344</v>
      </c>
      <c r="L8" s="7"/>
      <c r="M8" s="7"/>
    </row>
    <row r="9" customFormat="false" ht="15" hidden="false" customHeight="false" outlineLevel="0" collapsed="false">
      <c r="A9" s="7" t="s">
        <v>49</v>
      </c>
      <c r="B9" s="8" t="s">
        <v>45</v>
      </c>
      <c r="C9" s="8" t="s">
        <v>46</v>
      </c>
      <c r="D9" s="7" t="s">
        <v>345</v>
      </c>
      <c r="E9" s="8" t="s">
        <v>346</v>
      </c>
      <c r="F9" s="8" t="s">
        <v>89</v>
      </c>
      <c r="G9" s="8" t="s">
        <v>89</v>
      </c>
      <c r="H9" s="8" t="s">
        <v>89</v>
      </c>
      <c r="I9" s="7"/>
      <c r="J9" s="8" t="s">
        <v>334</v>
      </c>
      <c r="K9" s="8" t="s">
        <v>347</v>
      </c>
      <c r="L9" s="7"/>
      <c r="M9" s="7"/>
    </row>
    <row r="10" customFormat="false" ht="15" hidden="false" customHeight="false" outlineLevel="0" collapsed="false">
      <c r="A10" s="7" t="s">
        <v>49</v>
      </c>
      <c r="B10" s="8" t="s">
        <v>45</v>
      </c>
      <c r="C10" s="8" t="s">
        <v>46</v>
      </c>
      <c r="D10" s="7" t="s">
        <v>348</v>
      </c>
      <c r="E10" s="8" t="s">
        <v>349</v>
      </c>
      <c r="F10" s="8" t="s">
        <v>350</v>
      </c>
      <c r="G10" s="8" t="s">
        <v>112</v>
      </c>
      <c r="H10" s="8" t="s">
        <v>351</v>
      </c>
      <c r="I10" s="8" t="s">
        <v>352</v>
      </c>
      <c r="J10" s="8" t="s">
        <v>334</v>
      </c>
      <c r="K10" s="8" t="s">
        <v>353</v>
      </c>
      <c r="L10" s="7"/>
      <c r="M10" s="7"/>
    </row>
    <row r="11" customFormat="false" ht="15" hidden="false" customHeight="false" outlineLevel="0" collapsed="false">
      <c r="A11" s="7" t="s">
        <v>49</v>
      </c>
      <c r="B11" s="8" t="s">
        <v>45</v>
      </c>
      <c r="C11" s="8" t="s">
        <v>46</v>
      </c>
      <c r="D11" s="7" t="s">
        <v>354</v>
      </c>
      <c r="E11" s="8" t="s">
        <v>355</v>
      </c>
      <c r="F11" s="8" t="s">
        <v>89</v>
      </c>
      <c r="G11" s="8" t="s">
        <v>89</v>
      </c>
      <c r="H11" s="8" t="s">
        <v>89</v>
      </c>
      <c r="I11" s="7"/>
      <c r="J11" s="8" t="s">
        <v>334</v>
      </c>
      <c r="K11" s="8" t="s">
        <v>356</v>
      </c>
      <c r="L11" s="7"/>
      <c r="M11" s="7"/>
    </row>
    <row r="12" customFormat="false" ht="15" hidden="false" customHeight="false" outlineLevel="0" collapsed="false">
      <c r="A12" s="7" t="s">
        <v>49</v>
      </c>
      <c r="B12" s="8" t="s">
        <v>45</v>
      </c>
      <c r="C12" s="8" t="s">
        <v>46</v>
      </c>
      <c r="D12" s="7" t="s">
        <v>357</v>
      </c>
      <c r="E12" s="8" t="s">
        <v>358</v>
      </c>
      <c r="F12" s="8" t="s">
        <v>359</v>
      </c>
      <c r="G12" s="8" t="s">
        <v>225</v>
      </c>
      <c r="H12" s="8" t="s">
        <v>89</v>
      </c>
      <c r="I12" s="7"/>
      <c r="J12" s="8" t="s">
        <v>334</v>
      </c>
      <c r="K12" s="8" t="s">
        <v>360</v>
      </c>
      <c r="L12" s="7" t="s">
        <v>59</v>
      </c>
      <c r="M12" s="7" t="s">
        <v>326</v>
      </c>
    </row>
    <row r="13" customFormat="false" ht="15" hidden="false" customHeight="false" outlineLevel="0" collapsed="false">
      <c r="A13" s="7" t="s">
        <v>49</v>
      </c>
      <c r="B13" s="8" t="s">
        <v>45</v>
      </c>
      <c r="C13" s="8" t="s">
        <v>46</v>
      </c>
      <c r="D13" s="7" t="s">
        <v>361</v>
      </c>
      <c r="E13" s="8" t="s">
        <v>362</v>
      </c>
      <c r="F13" s="8" t="s">
        <v>89</v>
      </c>
      <c r="G13" s="8" t="s">
        <v>89</v>
      </c>
      <c r="H13" s="8" t="s">
        <v>89</v>
      </c>
      <c r="I13" s="7"/>
      <c r="J13" s="8" t="s">
        <v>363</v>
      </c>
      <c r="K13" s="8" t="s">
        <v>364</v>
      </c>
      <c r="L13" s="7"/>
      <c r="M13" s="7"/>
    </row>
    <row r="14" customFormat="false" ht="15" hidden="false" customHeight="false" outlineLevel="0" collapsed="false">
      <c r="A14" s="7" t="s">
        <v>49</v>
      </c>
      <c r="B14" s="8" t="s">
        <v>45</v>
      </c>
      <c r="C14" s="8" t="s">
        <v>46</v>
      </c>
      <c r="D14" s="7" t="s">
        <v>365</v>
      </c>
      <c r="E14" s="8" t="s">
        <v>366</v>
      </c>
      <c r="F14" s="8" t="s">
        <v>367</v>
      </c>
      <c r="G14" s="8" t="s">
        <v>225</v>
      </c>
      <c r="H14" s="8" t="s">
        <v>89</v>
      </c>
      <c r="I14" s="7"/>
      <c r="J14" s="8" t="s">
        <v>334</v>
      </c>
      <c r="K14" s="8" t="s">
        <v>368</v>
      </c>
      <c r="L14" s="7" t="s">
        <v>59</v>
      </c>
      <c r="M14" s="7" t="s">
        <v>326</v>
      </c>
    </row>
    <row r="15" customFormat="false" ht="15" hidden="false" customHeight="false" outlineLevel="0" collapsed="false">
      <c r="A15" s="7" t="s">
        <v>57</v>
      </c>
      <c r="B15" s="8" t="s">
        <v>45</v>
      </c>
      <c r="C15" s="8" t="s">
        <v>54</v>
      </c>
      <c r="D15" s="7" t="s">
        <v>317</v>
      </c>
      <c r="E15" s="8" t="s">
        <v>318</v>
      </c>
      <c r="F15" s="8" t="s">
        <v>319</v>
      </c>
      <c r="G15" s="8" t="s">
        <v>89</v>
      </c>
      <c r="H15" s="8" t="s">
        <v>89</v>
      </c>
      <c r="I15" s="7"/>
      <c r="J15" s="8" t="s">
        <v>320</v>
      </c>
      <c r="K15" s="8" t="s">
        <v>321</v>
      </c>
      <c r="L15" s="7"/>
      <c r="M15" s="7"/>
    </row>
    <row r="16" customFormat="false" ht="15" hidden="false" customHeight="false" outlineLevel="0" collapsed="false">
      <c r="A16" s="7" t="s">
        <v>57</v>
      </c>
      <c r="B16" s="8" t="s">
        <v>45</v>
      </c>
      <c r="C16" s="8" t="s">
        <v>54</v>
      </c>
      <c r="D16" s="7" t="s">
        <v>322</v>
      </c>
      <c r="E16" s="7" t="s">
        <v>323</v>
      </c>
      <c r="F16" s="8" t="s">
        <v>324</v>
      </c>
      <c r="G16" s="8" t="s">
        <v>225</v>
      </c>
      <c r="H16" s="8" t="s">
        <v>89</v>
      </c>
      <c r="I16" s="7"/>
      <c r="J16" s="8" t="s">
        <v>320</v>
      </c>
      <c r="K16" s="8" t="s">
        <v>325</v>
      </c>
      <c r="L16" s="7" t="s">
        <v>59</v>
      </c>
      <c r="M16" s="7" t="s">
        <v>326</v>
      </c>
    </row>
    <row r="17" customFormat="false" ht="15" hidden="false" customHeight="false" outlineLevel="0" collapsed="false">
      <c r="A17" s="7" t="s">
        <v>57</v>
      </c>
      <c r="B17" s="8" t="s">
        <v>45</v>
      </c>
      <c r="C17" s="8" t="s">
        <v>54</v>
      </c>
      <c r="D17" s="7" t="s">
        <v>327</v>
      </c>
      <c r="E17" s="8" t="s">
        <v>328</v>
      </c>
      <c r="F17" s="8" t="s">
        <v>329</v>
      </c>
      <c r="G17" s="8" t="s">
        <v>89</v>
      </c>
      <c r="H17" s="8" t="s">
        <v>89</v>
      </c>
      <c r="I17" s="7"/>
      <c r="J17" s="8" t="s">
        <v>320</v>
      </c>
      <c r="K17" s="7" t="s">
        <v>330</v>
      </c>
      <c r="L17" s="7"/>
      <c r="M17" s="7"/>
    </row>
    <row r="18" customFormat="false" ht="15" hidden="false" customHeight="false" outlineLevel="0" collapsed="false">
      <c r="A18" s="7" t="s">
        <v>57</v>
      </c>
      <c r="B18" s="8" t="s">
        <v>45</v>
      </c>
      <c r="C18" s="8" t="s">
        <v>54</v>
      </c>
      <c r="D18" s="7" t="s">
        <v>331</v>
      </c>
      <c r="E18" s="8" t="s">
        <v>332</v>
      </c>
      <c r="F18" s="8" t="s">
        <v>333</v>
      </c>
      <c r="G18" s="8" t="s">
        <v>89</v>
      </c>
      <c r="H18" s="8" t="s">
        <v>89</v>
      </c>
      <c r="I18" s="7"/>
      <c r="J18" s="8" t="s">
        <v>334</v>
      </c>
      <c r="K18" s="8" t="s">
        <v>335</v>
      </c>
      <c r="L18" s="7"/>
      <c r="M18" s="7"/>
    </row>
    <row r="19" customFormat="false" ht="15" hidden="false" customHeight="false" outlineLevel="0" collapsed="false">
      <c r="A19" s="7" t="s">
        <v>57</v>
      </c>
      <c r="B19" s="8" t="s">
        <v>45</v>
      </c>
      <c r="C19" s="8" t="s">
        <v>54</v>
      </c>
      <c r="D19" s="7" t="s">
        <v>336</v>
      </c>
      <c r="E19" s="8" t="s">
        <v>337</v>
      </c>
      <c r="F19" s="8" t="s">
        <v>89</v>
      </c>
      <c r="G19" s="8" t="s">
        <v>89</v>
      </c>
      <c r="H19" s="8" t="s">
        <v>89</v>
      </c>
      <c r="I19" s="7"/>
      <c r="J19" s="8" t="s">
        <v>320</v>
      </c>
      <c r="K19" s="8" t="s">
        <v>338</v>
      </c>
      <c r="L19" s="7"/>
      <c r="M19" s="7"/>
    </row>
    <row r="20" customFormat="false" ht="15" hidden="false" customHeight="false" outlineLevel="0" collapsed="false">
      <c r="A20" s="7" t="s">
        <v>57</v>
      </c>
      <c r="B20" s="8" t="s">
        <v>45</v>
      </c>
      <c r="C20" s="8" t="s">
        <v>54</v>
      </c>
      <c r="D20" s="7" t="s">
        <v>339</v>
      </c>
      <c r="E20" s="8" t="s">
        <v>340</v>
      </c>
      <c r="F20" s="8" t="s">
        <v>89</v>
      </c>
      <c r="G20" s="8" t="s">
        <v>89</v>
      </c>
      <c r="H20" s="8" t="s">
        <v>89</v>
      </c>
      <c r="I20" s="7"/>
      <c r="J20" s="8" t="s">
        <v>334</v>
      </c>
      <c r="K20" s="7" t="s">
        <v>341</v>
      </c>
      <c r="L20" s="7"/>
      <c r="M20" s="7"/>
    </row>
    <row r="21" customFormat="false" ht="15" hidden="false" customHeight="false" outlineLevel="0" collapsed="false">
      <c r="A21" s="7" t="s">
        <v>57</v>
      </c>
      <c r="B21" s="8" t="s">
        <v>45</v>
      </c>
      <c r="C21" s="8" t="s">
        <v>54</v>
      </c>
      <c r="D21" s="7" t="s">
        <v>342</v>
      </c>
      <c r="E21" s="8" t="s">
        <v>343</v>
      </c>
      <c r="F21" s="8" t="s">
        <v>89</v>
      </c>
      <c r="G21" s="8" t="s">
        <v>89</v>
      </c>
      <c r="H21" s="8" t="s">
        <v>89</v>
      </c>
      <c r="I21" s="7"/>
      <c r="J21" s="8" t="s">
        <v>320</v>
      </c>
      <c r="K21" s="8" t="s">
        <v>344</v>
      </c>
      <c r="L21" s="7"/>
      <c r="M21" s="7"/>
    </row>
    <row r="22" customFormat="false" ht="15" hidden="false" customHeight="false" outlineLevel="0" collapsed="false">
      <c r="A22" s="7" t="s">
        <v>57</v>
      </c>
      <c r="B22" s="8" t="s">
        <v>45</v>
      </c>
      <c r="C22" s="8" t="s">
        <v>54</v>
      </c>
      <c r="D22" s="7" t="s">
        <v>345</v>
      </c>
      <c r="E22" s="8" t="s">
        <v>346</v>
      </c>
      <c r="F22" s="8" t="s">
        <v>89</v>
      </c>
      <c r="G22" s="8" t="s">
        <v>89</v>
      </c>
      <c r="H22" s="8" t="s">
        <v>89</v>
      </c>
      <c r="I22" s="7"/>
      <c r="J22" s="8" t="s">
        <v>334</v>
      </c>
      <c r="K22" s="8" t="s">
        <v>347</v>
      </c>
      <c r="L22" s="7"/>
      <c r="M22" s="7"/>
    </row>
    <row r="23" customFormat="false" ht="15" hidden="false" customHeight="false" outlineLevel="0" collapsed="false">
      <c r="A23" s="7" t="s">
        <v>57</v>
      </c>
      <c r="B23" s="8" t="s">
        <v>45</v>
      </c>
      <c r="C23" s="8" t="s">
        <v>54</v>
      </c>
      <c r="D23" s="7" t="s">
        <v>348</v>
      </c>
      <c r="E23" s="8" t="s">
        <v>349</v>
      </c>
      <c r="F23" s="8" t="s">
        <v>350</v>
      </c>
      <c r="G23" s="8" t="s">
        <v>112</v>
      </c>
      <c r="H23" s="8" t="s">
        <v>351</v>
      </c>
      <c r="I23" s="8" t="s">
        <v>352</v>
      </c>
      <c r="J23" s="8" t="s">
        <v>334</v>
      </c>
      <c r="K23" s="8" t="s">
        <v>353</v>
      </c>
      <c r="L23" s="7"/>
      <c r="M23" s="7"/>
    </row>
    <row r="24" customFormat="false" ht="15" hidden="false" customHeight="false" outlineLevel="0" collapsed="false">
      <c r="A24" s="7" t="s">
        <v>57</v>
      </c>
      <c r="B24" s="8" t="s">
        <v>45</v>
      </c>
      <c r="C24" s="8" t="s">
        <v>54</v>
      </c>
      <c r="D24" s="7" t="s">
        <v>354</v>
      </c>
      <c r="E24" s="8" t="s">
        <v>355</v>
      </c>
      <c r="F24" s="8" t="s">
        <v>89</v>
      </c>
      <c r="G24" s="8" t="s">
        <v>89</v>
      </c>
      <c r="H24" s="8" t="s">
        <v>89</v>
      </c>
      <c r="I24" s="7"/>
      <c r="J24" s="8" t="s">
        <v>334</v>
      </c>
      <c r="K24" s="8" t="s">
        <v>356</v>
      </c>
      <c r="L24" s="7"/>
      <c r="M24" s="7"/>
    </row>
    <row r="25" customFormat="false" ht="15" hidden="false" customHeight="false" outlineLevel="0" collapsed="false">
      <c r="A25" s="7" t="s">
        <v>57</v>
      </c>
      <c r="B25" s="8" t="s">
        <v>45</v>
      </c>
      <c r="C25" s="8" t="s">
        <v>54</v>
      </c>
      <c r="D25" s="7" t="s">
        <v>357</v>
      </c>
      <c r="E25" s="8" t="s">
        <v>358</v>
      </c>
      <c r="F25" s="8" t="s">
        <v>359</v>
      </c>
      <c r="G25" s="8" t="s">
        <v>225</v>
      </c>
      <c r="H25" s="8" t="s">
        <v>89</v>
      </c>
      <c r="I25" s="7"/>
      <c r="J25" s="8" t="s">
        <v>334</v>
      </c>
      <c r="K25" s="8" t="s">
        <v>360</v>
      </c>
      <c r="L25" s="7" t="s">
        <v>59</v>
      </c>
      <c r="M25" s="7" t="s">
        <v>326</v>
      </c>
    </row>
    <row r="26" customFormat="false" ht="15" hidden="false" customHeight="false" outlineLevel="0" collapsed="false">
      <c r="A26" s="7" t="s">
        <v>57</v>
      </c>
      <c r="B26" s="8" t="s">
        <v>45</v>
      </c>
      <c r="C26" s="8" t="s">
        <v>54</v>
      </c>
      <c r="D26" s="7" t="s">
        <v>361</v>
      </c>
      <c r="E26" s="8" t="s">
        <v>362</v>
      </c>
      <c r="F26" s="8" t="s">
        <v>89</v>
      </c>
      <c r="G26" s="8" t="s">
        <v>89</v>
      </c>
      <c r="H26" s="8" t="s">
        <v>89</v>
      </c>
      <c r="I26" s="7"/>
      <c r="J26" s="8" t="s">
        <v>363</v>
      </c>
      <c r="K26" s="8" t="s">
        <v>364</v>
      </c>
      <c r="L26" s="7"/>
      <c r="M26" s="7"/>
    </row>
    <row r="27" customFormat="false" ht="15" hidden="false" customHeight="false" outlineLevel="0" collapsed="false">
      <c r="A27" s="7" t="s">
        <v>57</v>
      </c>
      <c r="B27" s="8" t="s">
        <v>45</v>
      </c>
      <c r="C27" s="8" t="s">
        <v>54</v>
      </c>
      <c r="D27" s="7" t="s">
        <v>365</v>
      </c>
      <c r="E27" s="8" t="s">
        <v>366</v>
      </c>
      <c r="F27" s="8" t="s">
        <v>367</v>
      </c>
      <c r="G27" s="8" t="s">
        <v>225</v>
      </c>
      <c r="H27" s="8" t="s">
        <v>89</v>
      </c>
      <c r="I27" s="7"/>
      <c r="J27" s="8" t="s">
        <v>334</v>
      </c>
      <c r="K27" s="8" t="s">
        <v>368</v>
      </c>
      <c r="L27" s="7" t="s">
        <v>59</v>
      </c>
      <c r="M27" s="7" t="s">
        <v>326</v>
      </c>
    </row>
  </sheetData>
  <dataValidations count="5">
    <dataValidation allowBlank="true" error="목록에 있는 값만 입력할 수 있습니다" errorStyle="stop" errorTitle="목록에서 선택" operator="between" showDropDown="false" showErrorMessage="true" showInputMessage="false" sqref="C2:C500" type="list">
      <formula1>"봉제인형,인형 키링,아크릴,문구,기타"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D2:D500" type="list">
      <formula1>"children_product,kc,trademark_license,parallel_import,copyright_import,design_right,customs_ip_watch,platform_ip_report,listing_assets,customs,labeling,channel_policy,return_policy"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G2:G500" type="list">
      <formula1>"확인,추정,미확인"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H2:H500" type="list">
      <formula1>"통과,조건부,실패,미확인"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J2:J500" type="list">
      <formula1>"낮음,중간,높음"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6" min="3" style="0" width="40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6" t="s">
        <v>369</v>
      </c>
      <c r="B1" s="6" t="s">
        <v>370</v>
      </c>
      <c r="C1" s="6" t="s">
        <v>371</v>
      </c>
      <c r="D1" s="6" t="s">
        <v>372</v>
      </c>
      <c r="E1" s="6" t="s">
        <v>373</v>
      </c>
      <c r="F1" s="6" t="s">
        <v>374</v>
      </c>
      <c r="G1" s="6" t="s">
        <v>375</v>
      </c>
      <c r="H1" s="6" t="s">
        <v>33</v>
      </c>
      <c r="I1" s="6" t="s">
        <v>376</v>
      </c>
      <c r="J1" s="6" t="s">
        <v>377</v>
      </c>
    </row>
    <row r="2" customFormat="false" ht="15" hidden="false" customHeight="false" outlineLevel="0" collapsed="false">
      <c r="A2" s="7" t="s">
        <v>378</v>
      </c>
      <c r="B2" s="8" t="s">
        <v>379</v>
      </c>
      <c r="C2" s="8" t="s">
        <v>380</v>
      </c>
      <c r="D2" s="7"/>
      <c r="E2" s="7"/>
      <c r="F2" s="8" t="s">
        <v>381</v>
      </c>
      <c r="G2" s="8" t="s">
        <v>382</v>
      </c>
      <c r="H2" s="8" t="s">
        <v>383</v>
      </c>
      <c r="I2" s="7"/>
      <c r="J2" s="8" t="s">
        <v>384</v>
      </c>
    </row>
    <row r="3" customFormat="false" ht="15" hidden="false" customHeight="false" outlineLevel="0" collapsed="false">
      <c r="A3" s="7" t="s">
        <v>385</v>
      </c>
      <c r="B3" s="8" t="s">
        <v>386</v>
      </c>
      <c r="C3" s="7" t="s">
        <v>387</v>
      </c>
      <c r="D3" s="7"/>
      <c r="E3" s="7"/>
      <c r="F3" s="8" t="s">
        <v>388</v>
      </c>
      <c r="G3" s="8" t="s">
        <v>389</v>
      </c>
      <c r="H3" s="8" t="s">
        <v>383</v>
      </c>
      <c r="I3" s="7"/>
      <c r="J3" s="7" t="s">
        <v>390</v>
      </c>
    </row>
    <row r="4" customFormat="false" ht="15" hidden="false" customHeight="false" outlineLevel="0" collapsed="false">
      <c r="A4" s="7" t="s">
        <v>391</v>
      </c>
      <c r="B4" s="8" t="s">
        <v>392</v>
      </c>
      <c r="C4" s="8" t="s">
        <v>393</v>
      </c>
      <c r="D4" s="8" t="s">
        <v>394</v>
      </c>
      <c r="E4" s="8" t="s">
        <v>395</v>
      </c>
      <c r="F4" s="8" t="s">
        <v>396</v>
      </c>
      <c r="G4" s="8" t="s">
        <v>397</v>
      </c>
      <c r="H4" s="8" t="s">
        <v>398</v>
      </c>
      <c r="I4" s="7" t="s">
        <v>59</v>
      </c>
      <c r="J4" s="8" t="s">
        <v>399</v>
      </c>
    </row>
    <row r="5" customFormat="false" ht="15" hidden="false" customHeight="false" outlineLevel="0" collapsed="false">
      <c r="A5" s="7" t="s">
        <v>400</v>
      </c>
      <c r="B5" s="8" t="s">
        <v>401</v>
      </c>
      <c r="C5" s="8" t="s">
        <v>402</v>
      </c>
      <c r="D5" s="8" t="s">
        <v>403</v>
      </c>
      <c r="E5" s="8" t="s">
        <v>404</v>
      </c>
      <c r="F5" s="8" t="s">
        <v>405</v>
      </c>
      <c r="G5" s="8" t="s">
        <v>406</v>
      </c>
      <c r="H5" s="8" t="s">
        <v>398</v>
      </c>
      <c r="I5" s="7" t="s">
        <v>59</v>
      </c>
      <c r="J5" s="8" t="s">
        <v>407</v>
      </c>
    </row>
    <row r="6" customFormat="false" ht="15" hidden="false" customHeight="false" outlineLevel="0" collapsed="false">
      <c r="A6" s="7" t="s">
        <v>408</v>
      </c>
      <c r="B6" s="8" t="s">
        <v>409</v>
      </c>
      <c r="C6" s="8" t="s">
        <v>410</v>
      </c>
      <c r="D6" s="7" t="s">
        <v>411</v>
      </c>
      <c r="E6" s="8" t="s">
        <v>412</v>
      </c>
      <c r="F6" s="7" t="s">
        <v>413</v>
      </c>
      <c r="G6" s="7" t="s">
        <v>414</v>
      </c>
      <c r="H6" s="8" t="s">
        <v>398</v>
      </c>
      <c r="I6" s="7" t="s">
        <v>59</v>
      </c>
      <c r="J6" s="7" t="s">
        <v>415</v>
      </c>
    </row>
    <row r="7" customFormat="false" ht="15" hidden="false" customHeight="false" outlineLevel="0" collapsed="false">
      <c r="A7" s="7" t="s">
        <v>416</v>
      </c>
      <c r="B7" s="8" t="s">
        <v>417</v>
      </c>
      <c r="C7" s="7"/>
      <c r="D7" s="7"/>
      <c r="E7" s="7"/>
      <c r="F7" s="8" t="s">
        <v>418</v>
      </c>
      <c r="G7" s="8" t="s">
        <v>419</v>
      </c>
      <c r="H7" s="8" t="s">
        <v>383</v>
      </c>
      <c r="I7" s="7"/>
      <c r="J7" s="7" t="s">
        <v>420</v>
      </c>
    </row>
  </sheetData>
  <dataValidations count="1">
    <dataValidation allowBlank="true" error="목록에 있는 값만 입력할 수 있습니다" errorStyle="stop" errorTitle="목록에서 선택" operator="between" showDropDown="false" showErrorMessage="true" showInputMessage="false" sqref="H2:H500" type="list">
      <formula1>"제안,채택,대체,기각"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8" min="7" style="0" width="30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6" t="s">
        <v>421</v>
      </c>
      <c r="B1" s="6" t="s">
        <v>370</v>
      </c>
      <c r="C1" s="6" t="s">
        <v>422</v>
      </c>
      <c r="D1" s="6" t="s">
        <v>423</v>
      </c>
      <c r="E1" s="6" t="s">
        <v>33</v>
      </c>
      <c r="F1" s="6" t="s">
        <v>424</v>
      </c>
      <c r="G1" s="6" t="s">
        <v>425</v>
      </c>
      <c r="H1" s="6" t="s">
        <v>426</v>
      </c>
      <c r="I1" s="6" t="s">
        <v>427</v>
      </c>
      <c r="J1" s="6" t="s">
        <v>42</v>
      </c>
    </row>
    <row r="2" customFormat="false" ht="15" hidden="false" customHeight="false" outlineLevel="0" collapsed="false">
      <c r="A2" s="7" t="s">
        <v>428</v>
      </c>
      <c r="B2" s="7" t="s">
        <v>429</v>
      </c>
      <c r="C2" s="7" t="s">
        <v>378</v>
      </c>
      <c r="D2" s="7" t="s">
        <v>430</v>
      </c>
      <c r="E2" s="8" t="s">
        <v>431</v>
      </c>
      <c r="F2" s="7"/>
      <c r="G2" s="8" t="s">
        <v>432</v>
      </c>
      <c r="H2" s="8" t="s">
        <v>433</v>
      </c>
      <c r="I2" s="7" t="s">
        <v>434</v>
      </c>
      <c r="J2" s="7"/>
    </row>
    <row r="3" customFormat="false" ht="15" hidden="false" customHeight="false" outlineLevel="0" collapsed="false">
      <c r="A3" s="7" t="s">
        <v>435</v>
      </c>
      <c r="B3" s="7" t="s">
        <v>436</v>
      </c>
      <c r="C3" s="7" t="s">
        <v>49</v>
      </c>
      <c r="D3" s="7" t="s">
        <v>430</v>
      </c>
      <c r="E3" s="8" t="s">
        <v>431</v>
      </c>
      <c r="F3" s="7"/>
      <c r="G3" s="8" t="s">
        <v>437</v>
      </c>
      <c r="H3" s="8" t="s">
        <v>438</v>
      </c>
      <c r="I3" s="7" t="s">
        <v>439</v>
      </c>
      <c r="J3" s="7"/>
    </row>
    <row r="4" customFormat="false" ht="15" hidden="false" customHeight="false" outlineLevel="0" collapsed="false">
      <c r="A4" s="7" t="s">
        <v>440</v>
      </c>
      <c r="B4" s="7" t="s">
        <v>441</v>
      </c>
      <c r="C4" s="7" t="s">
        <v>49</v>
      </c>
      <c r="D4" s="7" t="s">
        <v>430</v>
      </c>
      <c r="E4" s="8" t="s">
        <v>442</v>
      </c>
      <c r="F4" s="7"/>
      <c r="G4" s="7"/>
      <c r="H4" s="7"/>
      <c r="I4" s="7"/>
      <c r="J4" s="7"/>
    </row>
    <row r="5" customFormat="false" ht="15" hidden="false" customHeight="false" outlineLevel="0" collapsed="false">
      <c r="A5" s="7" t="s">
        <v>443</v>
      </c>
      <c r="B5" s="8" t="s">
        <v>444</v>
      </c>
      <c r="C5" s="7" t="s">
        <v>145</v>
      </c>
      <c r="D5" s="7" t="s">
        <v>445</v>
      </c>
      <c r="E5" s="8" t="s">
        <v>442</v>
      </c>
      <c r="F5" s="7"/>
      <c r="G5" s="7"/>
      <c r="H5" s="7"/>
      <c r="I5" s="7"/>
      <c r="J5" s="7" t="s">
        <v>446</v>
      </c>
    </row>
    <row r="6" customFormat="false" ht="15" hidden="false" customHeight="false" outlineLevel="0" collapsed="false">
      <c r="A6" s="7" t="s">
        <v>447</v>
      </c>
      <c r="B6" s="8" t="s">
        <v>448</v>
      </c>
      <c r="C6" s="7" t="s">
        <v>208</v>
      </c>
      <c r="D6" s="7" t="s">
        <v>445</v>
      </c>
      <c r="E6" s="8" t="s">
        <v>442</v>
      </c>
      <c r="F6" s="7"/>
      <c r="G6" s="7"/>
      <c r="H6" s="7"/>
      <c r="I6" s="7"/>
      <c r="J6" s="7"/>
    </row>
    <row r="7" customFormat="false" ht="15" hidden="false" customHeight="false" outlineLevel="0" collapsed="false">
      <c r="A7" s="7" t="s">
        <v>449</v>
      </c>
      <c r="B7" s="8" t="s">
        <v>450</v>
      </c>
      <c r="C7" s="7"/>
      <c r="D7" s="7" t="s">
        <v>445</v>
      </c>
      <c r="E7" s="8" t="s">
        <v>442</v>
      </c>
      <c r="F7" s="7"/>
      <c r="G7" s="7"/>
      <c r="H7" s="7"/>
      <c r="I7" s="7"/>
      <c r="J7" s="7"/>
    </row>
    <row r="8" customFormat="false" ht="15" hidden="false" customHeight="false" outlineLevel="0" collapsed="false">
      <c r="A8" s="7" t="s">
        <v>451</v>
      </c>
      <c r="B8" s="8" t="s">
        <v>452</v>
      </c>
      <c r="C8" s="7" t="s">
        <v>391</v>
      </c>
      <c r="D8" s="7" t="s">
        <v>453</v>
      </c>
      <c r="E8" s="8" t="s">
        <v>442</v>
      </c>
      <c r="F8" s="7"/>
      <c r="G8" s="7"/>
      <c r="H8" s="7"/>
      <c r="I8" s="7"/>
      <c r="J8" s="8" t="s">
        <v>454</v>
      </c>
    </row>
    <row r="9" customFormat="false" ht="15" hidden="false" customHeight="false" outlineLevel="0" collapsed="false">
      <c r="A9" s="7" t="s">
        <v>455</v>
      </c>
      <c r="B9" s="8" t="s">
        <v>456</v>
      </c>
      <c r="C9" s="7"/>
      <c r="D9" s="7" t="s">
        <v>453</v>
      </c>
      <c r="E9" s="8" t="s">
        <v>442</v>
      </c>
      <c r="F9" s="7"/>
      <c r="G9" s="7"/>
      <c r="H9" s="7"/>
      <c r="I9" s="7"/>
      <c r="J9" s="7"/>
    </row>
  </sheetData>
  <dataValidations count="2">
    <dataValidation allowBlank="true" error="목록에 있는 값만 입력할 수 있습니다" errorStyle="stop" errorTitle="목록에서 선택" operator="between" showDropDown="false" showErrorMessage="true" showInputMessage="false" sqref="D2:D500" type="list">
      <formula1>"1,2,3,4"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E2:E500" type="list">
      <formula1>"할일,진행,막힘,완료,취소"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30" hidden="false" customHeight="true" outlineLevel="0" collapsed="false">
      <c r="A1" s="6" t="s">
        <v>457</v>
      </c>
      <c r="B1" s="6" t="s">
        <v>125</v>
      </c>
      <c r="C1" s="6" t="s">
        <v>458</v>
      </c>
      <c r="D1" s="6" t="s">
        <v>459</v>
      </c>
      <c r="E1" s="6" t="s">
        <v>25</v>
      </c>
      <c r="F1" s="6" t="s">
        <v>42</v>
      </c>
    </row>
    <row r="2" customFormat="false" ht="15" hidden="false" customHeight="false" outlineLevel="0" collapsed="false">
      <c r="A2" s="7"/>
      <c r="B2" s="7" t="s">
        <v>147</v>
      </c>
      <c r="C2" s="7"/>
      <c r="D2" s="8" t="s">
        <v>460</v>
      </c>
      <c r="E2" s="7" t="s">
        <v>461</v>
      </c>
      <c r="F2" s="8" t="s">
        <v>462</v>
      </c>
    </row>
  </sheetData>
  <dataValidations count="2">
    <dataValidation allowBlank="true" error="목록에 있는 값만 입력할 수 있습니다" errorStyle="stop" errorTitle="목록에서 선택" operator="between" showDropDown="false" showErrorMessage="true" showInputMessage="false" sqref="B2:B500" type="list">
      <formula1>"CNY,TWD,USD,JPY"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D2:D500" type="list">
      <formula1>"기준,카드실제,수동"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0" hidden="false" customHeight="true" outlineLevel="0" collapsed="false">
      <c r="A1" s="6" t="s">
        <v>369</v>
      </c>
      <c r="B1" s="6" t="s">
        <v>70</v>
      </c>
      <c r="C1" s="6" t="s">
        <v>463</v>
      </c>
      <c r="D1" s="6" t="s">
        <v>464</v>
      </c>
      <c r="E1" s="6" t="s">
        <v>465</v>
      </c>
      <c r="F1" s="6" t="s">
        <v>466</v>
      </c>
      <c r="G1" s="6" t="s">
        <v>467</v>
      </c>
    </row>
    <row r="2" customFormat="false" ht="15" hidden="false" customHeight="false" outlineLevel="0" collapsed="false">
      <c r="A2" s="7" t="s">
        <v>468</v>
      </c>
      <c r="B2" s="8" t="s">
        <v>469</v>
      </c>
      <c r="C2" s="8" t="s">
        <v>470</v>
      </c>
      <c r="D2" s="8" t="s">
        <v>471</v>
      </c>
      <c r="E2" s="8" t="s">
        <v>472</v>
      </c>
      <c r="F2" s="8" t="s">
        <v>473</v>
      </c>
      <c r="G2" s="7"/>
    </row>
    <row r="3" customFormat="false" ht="15" hidden="false" customHeight="false" outlineLevel="0" collapsed="false">
      <c r="A3" s="7" t="s">
        <v>474</v>
      </c>
      <c r="B3" s="8" t="s">
        <v>475</v>
      </c>
      <c r="C3" s="8" t="s">
        <v>470</v>
      </c>
      <c r="D3" s="8" t="s">
        <v>471</v>
      </c>
      <c r="E3" s="8" t="s">
        <v>472</v>
      </c>
      <c r="F3" s="8" t="s">
        <v>476</v>
      </c>
      <c r="G3" s="8" t="s">
        <v>477</v>
      </c>
    </row>
    <row r="4" customFormat="false" ht="15" hidden="false" customHeight="false" outlineLevel="0" collapsed="false">
      <c r="A4" s="7" t="s">
        <v>478</v>
      </c>
      <c r="B4" s="8" t="s">
        <v>479</v>
      </c>
      <c r="C4" s="8" t="s">
        <v>480</v>
      </c>
      <c r="D4" s="8" t="s">
        <v>481</v>
      </c>
      <c r="E4" s="8" t="s">
        <v>482</v>
      </c>
      <c r="F4" s="8" t="s">
        <v>473</v>
      </c>
      <c r="G4" s="7"/>
    </row>
    <row r="5" customFormat="false" ht="15" hidden="false" customHeight="false" outlineLevel="0" collapsed="false">
      <c r="A5" s="7" t="s">
        <v>483</v>
      </c>
      <c r="B5" s="8" t="s">
        <v>484</v>
      </c>
      <c r="C5" s="8" t="s">
        <v>480</v>
      </c>
      <c r="D5" s="8" t="s">
        <v>481</v>
      </c>
      <c r="E5" s="8" t="s">
        <v>482</v>
      </c>
      <c r="F5" s="8" t="s">
        <v>485</v>
      </c>
      <c r="G5" s="8" t="s">
        <v>486</v>
      </c>
    </row>
    <row r="6" customFormat="false" ht="15" hidden="false" customHeight="false" outlineLevel="0" collapsed="false">
      <c r="A6" s="7" t="s">
        <v>487</v>
      </c>
      <c r="B6" s="8" t="s">
        <v>488</v>
      </c>
      <c r="C6" s="8" t="s">
        <v>480</v>
      </c>
      <c r="D6" s="8" t="s">
        <v>489</v>
      </c>
      <c r="E6" s="8" t="s">
        <v>482</v>
      </c>
      <c r="F6" s="8" t="s">
        <v>490</v>
      </c>
      <c r="G6" s="7"/>
    </row>
    <row r="7" customFormat="false" ht="15" hidden="false" customHeight="false" outlineLevel="0" collapsed="false">
      <c r="A7" s="7" t="s">
        <v>491</v>
      </c>
      <c r="B7" s="8" t="s">
        <v>492</v>
      </c>
      <c r="C7" s="8" t="s">
        <v>480</v>
      </c>
      <c r="D7" s="8" t="s">
        <v>489</v>
      </c>
      <c r="E7" s="8" t="s">
        <v>482</v>
      </c>
      <c r="F7" s="8" t="s">
        <v>493</v>
      </c>
      <c r="G7" s="8" t="s">
        <v>494</v>
      </c>
    </row>
    <row r="8" customFormat="false" ht="15" hidden="false" customHeight="false" outlineLevel="0" collapsed="false">
      <c r="A8" s="7" t="s">
        <v>495</v>
      </c>
      <c r="B8" s="8" t="s">
        <v>496</v>
      </c>
      <c r="C8" s="8" t="s">
        <v>480</v>
      </c>
      <c r="D8" s="8" t="s">
        <v>489</v>
      </c>
      <c r="E8" s="8" t="s">
        <v>482</v>
      </c>
      <c r="F8" s="8" t="s">
        <v>493</v>
      </c>
      <c r="G8" s="7"/>
    </row>
    <row r="9" customFormat="false" ht="15" hidden="false" customHeight="false" outlineLevel="0" collapsed="false">
      <c r="A9" s="7" t="s">
        <v>497</v>
      </c>
      <c r="B9" s="8" t="s">
        <v>498</v>
      </c>
      <c r="C9" s="8" t="s">
        <v>480</v>
      </c>
      <c r="D9" s="8" t="s">
        <v>499</v>
      </c>
      <c r="E9" s="8" t="s">
        <v>500</v>
      </c>
      <c r="F9" s="8" t="s">
        <v>493</v>
      </c>
      <c r="G9" s="7"/>
    </row>
    <row r="10" customFormat="false" ht="15" hidden="false" customHeight="false" outlineLevel="0" collapsed="false">
      <c r="A10" s="7" t="s">
        <v>501</v>
      </c>
      <c r="B10" s="8" t="s">
        <v>502</v>
      </c>
      <c r="C10" s="8" t="s">
        <v>480</v>
      </c>
      <c r="D10" s="8" t="s">
        <v>499</v>
      </c>
      <c r="E10" s="8" t="s">
        <v>500</v>
      </c>
      <c r="F10" s="8" t="s">
        <v>493</v>
      </c>
      <c r="G10" s="7"/>
    </row>
    <row r="11" customFormat="false" ht="15" hidden="false" customHeight="false" outlineLevel="0" collapsed="false">
      <c r="A11" s="7" t="s">
        <v>503</v>
      </c>
      <c r="B11" s="8" t="s">
        <v>504</v>
      </c>
      <c r="C11" s="8" t="s">
        <v>480</v>
      </c>
      <c r="D11" s="8" t="s">
        <v>489</v>
      </c>
      <c r="E11" s="8" t="s">
        <v>482</v>
      </c>
      <c r="F11" s="8" t="s">
        <v>493</v>
      </c>
      <c r="G11" s="8" t="s">
        <v>505</v>
      </c>
    </row>
    <row r="12" customFormat="false" ht="15" hidden="false" customHeight="false" outlineLevel="0" collapsed="false">
      <c r="A12" s="7" t="s">
        <v>506</v>
      </c>
      <c r="B12" s="8" t="s">
        <v>507</v>
      </c>
      <c r="C12" s="8" t="s">
        <v>480</v>
      </c>
      <c r="D12" s="8" t="s">
        <v>231</v>
      </c>
      <c r="E12" s="8" t="s">
        <v>482</v>
      </c>
      <c r="F12" s="8" t="s">
        <v>485</v>
      </c>
      <c r="G12" s="8" t="s">
        <v>508</v>
      </c>
    </row>
    <row r="13" customFormat="false" ht="15" hidden="false" customHeight="false" outlineLevel="0" collapsed="false">
      <c r="A13" s="7" t="s">
        <v>509</v>
      </c>
      <c r="B13" s="8" t="s">
        <v>510</v>
      </c>
      <c r="C13" s="8" t="s">
        <v>480</v>
      </c>
      <c r="D13" s="8" t="s">
        <v>231</v>
      </c>
      <c r="E13" s="8" t="s">
        <v>482</v>
      </c>
      <c r="F13" s="8" t="s">
        <v>485</v>
      </c>
      <c r="G13" s="7"/>
    </row>
    <row r="14" customFormat="false" ht="15" hidden="false" customHeight="false" outlineLevel="0" collapsed="false">
      <c r="A14" s="7" t="s">
        <v>511</v>
      </c>
      <c r="B14" s="8" t="s">
        <v>512</v>
      </c>
      <c r="C14" s="8" t="s">
        <v>480</v>
      </c>
      <c r="D14" s="8" t="s">
        <v>85</v>
      </c>
      <c r="E14" s="8" t="s">
        <v>482</v>
      </c>
      <c r="F14" s="8" t="s">
        <v>473</v>
      </c>
      <c r="G14" s="7"/>
    </row>
    <row r="15" customFormat="false" ht="15" hidden="false" customHeight="false" outlineLevel="0" collapsed="false">
      <c r="A15" s="7" t="s">
        <v>513</v>
      </c>
      <c r="B15" s="8" t="s">
        <v>514</v>
      </c>
      <c r="C15" s="8" t="s">
        <v>480</v>
      </c>
      <c r="D15" s="8" t="s">
        <v>85</v>
      </c>
      <c r="E15" s="8" t="s">
        <v>482</v>
      </c>
      <c r="F15" s="8" t="s">
        <v>515</v>
      </c>
      <c r="G15" s="8" t="s">
        <v>516</v>
      </c>
    </row>
    <row r="16" customFormat="false" ht="15" hidden="false" customHeight="false" outlineLevel="0" collapsed="false">
      <c r="A16" s="7" t="s">
        <v>517</v>
      </c>
      <c r="B16" s="8" t="s">
        <v>518</v>
      </c>
      <c r="C16" s="8" t="s">
        <v>480</v>
      </c>
      <c r="D16" s="8" t="s">
        <v>85</v>
      </c>
      <c r="E16" s="8" t="s">
        <v>482</v>
      </c>
      <c r="F16" s="8" t="s">
        <v>485</v>
      </c>
      <c r="G16" s="8" t="s">
        <v>112</v>
      </c>
    </row>
    <row r="17" customFormat="false" ht="15" hidden="false" customHeight="false" outlineLevel="0" collapsed="false">
      <c r="A17" s="7" t="s">
        <v>519</v>
      </c>
      <c r="B17" s="8" t="s">
        <v>520</v>
      </c>
      <c r="C17" s="8" t="s">
        <v>480</v>
      </c>
      <c r="D17" s="8" t="s">
        <v>85</v>
      </c>
      <c r="E17" s="8" t="s">
        <v>482</v>
      </c>
      <c r="F17" s="8" t="s">
        <v>515</v>
      </c>
      <c r="G17" s="8" t="s">
        <v>516</v>
      </c>
    </row>
  </sheetData>
  <dataValidations count="4">
    <dataValidation allowBlank="true" error="목록에 있는 값만 입력할 수 있습니다" errorStyle="stop" errorTitle="목록에서 선택" operator="between" showDropDown="false" showErrorMessage="true" showInputMessage="false" sqref="C2:C500" type="list">
      <formula1>"수입,지출"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D2:D500" type="list">
      <formula1>"판매,매입,운송,통관,채널,기타"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E2:E500" type="list">
      <formula1>"나,고객,공급처,모델에따라"</formula1>
      <formula2>0</formula2>
    </dataValidation>
    <dataValidation allowBlank="true" error="목록에 있는 값만 입력할 수 있습니다" errorStyle="stop" errorTitle="목록에서 선택" operator="between" showDropDown="false" showErrorMessage="true" showInputMessage="false" sqref="F2:F500" type="list">
      <formula1>"개당,주문당,소포당,kg당,발주당,판매가의%,월"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2026-09-16T09:27:51Z</dcterms:created>
  <dc:creator>openpyxl</dc:creator>
  <dc:description/>
  <dc:language>en-US</dc:language>
  <cp:lastModifiedBy/>
  <dcterms:modified xsi:type="dcterms:W3CDTF">2026-09-16T09:27:51Z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